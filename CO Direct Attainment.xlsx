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64C0EF0D-CC96-499E-BB83-BB7828C63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 Att" sheetId="10" r:id="rId1"/>
    <sheet name="Sheet1" sheetId="12" state="hidden" r:id="rId2"/>
  </sheets>
  <definedNames>
    <definedName name="_xlnm.Print_Area" localSheetId="0">'CO Att'!$A$1:$AZ$126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3" i="10" l="1" a="1"/>
  <c r="AW83" i="10" s="1"/>
  <c r="AW84" i="10" a="1"/>
  <c r="AW84" i="10" s="1"/>
  <c r="AW85" i="10" a="1"/>
  <c r="AW85" i="10" s="1"/>
  <c r="AW86" i="10" a="1"/>
  <c r="AW86" i="10" s="1"/>
  <c r="AW87" i="10" a="1"/>
  <c r="AW87" i="10" s="1"/>
  <c r="AW88" i="10" a="1"/>
  <c r="AW88" i="10" s="1"/>
  <c r="AW89" i="10" a="1"/>
  <c r="AW89" i="10" s="1"/>
  <c r="AW90" i="10" a="1"/>
  <c r="AW90" i="10" s="1"/>
  <c r="AW91" i="10" a="1"/>
  <c r="AW91" i="10" s="1"/>
  <c r="AW92" i="10" a="1"/>
  <c r="AW92" i="10" s="1"/>
  <c r="AW93" i="10" a="1"/>
  <c r="AW93" i="10" s="1"/>
  <c r="AW94" i="10" a="1"/>
  <c r="AW94" i="10" s="1"/>
  <c r="AW95" i="10" a="1"/>
  <c r="AW95" i="10" s="1"/>
  <c r="AW96" i="10" a="1"/>
  <c r="AW96" i="10"/>
  <c r="AW97" i="10" a="1"/>
  <c r="AW97" i="10" s="1"/>
  <c r="AW98" i="10" a="1"/>
  <c r="AW98" i="10" s="1"/>
  <c r="AW99" i="10" a="1"/>
  <c r="AW99" i="10" s="1"/>
  <c r="AL11" i="10" a="1"/>
  <c r="AL11" i="10" s="1"/>
  <c r="AL12" i="10" a="1"/>
  <c r="AL12" i="10" s="1"/>
  <c r="AL13" i="10" a="1"/>
  <c r="AL13" i="10" s="1"/>
  <c r="AL14" i="10" a="1"/>
  <c r="AL14" i="10" s="1"/>
  <c r="AL15" i="10" a="1"/>
  <c r="AL15" i="10" s="1"/>
  <c r="AL16" i="10" a="1"/>
  <c r="AL16" i="10" s="1"/>
  <c r="AL17" i="10" a="1"/>
  <c r="AL17" i="10" s="1"/>
  <c r="AL18" i="10" a="1"/>
  <c r="AL18" i="10" s="1"/>
  <c r="AL19" i="10" a="1"/>
  <c r="AL19" i="10" s="1"/>
  <c r="AL20" i="10" a="1"/>
  <c r="AL20" i="10" s="1"/>
  <c r="AL21" i="10" a="1"/>
  <c r="AL21" i="10" s="1"/>
  <c r="AL22" i="10" a="1"/>
  <c r="AL22" i="10" s="1"/>
  <c r="AL23" i="10" a="1"/>
  <c r="AL23" i="10" s="1"/>
  <c r="AL24" i="10" a="1"/>
  <c r="AL24" i="10" s="1"/>
  <c r="AL25" i="10" a="1"/>
  <c r="AL25" i="10" s="1"/>
  <c r="AL26" i="10" a="1"/>
  <c r="AL26" i="10" s="1"/>
  <c r="AL27" i="10" a="1"/>
  <c r="AL27" i="10" s="1"/>
  <c r="AL28" i="10" a="1"/>
  <c r="AL28" i="10" s="1"/>
  <c r="AL29" i="10" a="1"/>
  <c r="AL29" i="10" s="1"/>
  <c r="AL30" i="10" a="1"/>
  <c r="AL30" i="10" s="1"/>
  <c r="AL31" i="10" a="1"/>
  <c r="AL31" i="10" s="1"/>
  <c r="AL32" i="10" a="1"/>
  <c r="AL32" i="10" s="1"/>
  <c r="AL33" i="10" a="1"/>
  <c r="AL33" i="10" s="1"/>
  <c r="AL34" i="10" a="1"/>
  <c r="AL34" i="10" s="1"/>
  <c r="AL35" i="10" a="1"/>
  <c r="AL35" i="10" s="1"/>
  <c r="AL36" i="10" a="1"/>
  <c r="AL36" i="10" s="1"/>
  <c r="AL37" i="10" a="1"/>
  <c r="AL37" i="10" s="1"/>
  <c r="AL38" i="10" a="1"/>
  <c r="AL38" i="10" s="1"/>
  <c r="AL39" i="10" a="1"/>
  <c r="AL39" i="10" s="1"/>
  <c r="AL40" i="10" a="1"/>
  <c r="AL40" i="10" s="1"/>
  <c r="AL41" i="10" a="1"/>
  <c r="AL41" i="10" s="1"/>
  <c r="AL42" i="10" a="1"/>
  <c r="AL42" i="10" s="1"/>
  <c r="AL43" i="10" a="1"/>
  <c r="AL43" i="10" s="1"/>
  <c r="AL44" i="10" a="1"/>
  <c r="AL44" i="10" s="1"/>
  <c r="AL45" i="10" a="1"/>
  <c r="AL45" i="10" s="1"/>
  <c r="AL46" i="10" a="1"/>
  <c r="AL46" i="10" s="1"/>
  <c r="AL47" i="10" a="1"/>
  <c r="AL47" i="10" s="1"/>
  <c r="AL48" i="10" a="1"/>
  <c r="AL48" i="10" s="1"/>
  <c r="AL49" i="10" a="1"/>
  <c r="AL49" i="10" s="1"/>
  <c r="AL50" i="10" a="1"/>
  <c r="AL50" i="10" s="1"/>
  <c r="AL51" i="10" a="1"/>
  <c r="AL51" i="10" s="1"/>
  <c r="AL52" i="10" a="1"/>
  <c r="AL52" i="10" s="1"/>
  <c r="AL53" i="10" a="1"/>
  <c r="AL53" i="10" s="1"/>
  <c r="AL54" i="10" a="1"/>
  <c r="AL54" i="10" s="1"/>
  <c r="AL55" i="10" a="1"/>
  <c r="AL55" i="10" s="1"/>
  <c r="AL56" i="10" a="1"/>
  <c r="AL56" i="10" s="1"/>
  <c r="AL57" i="10" a="1"/>
  <c r="AL57" i="10" s="1"/>
  <c r="AL58" i="10" a="1"/>
  <c r="AL58" i="10"/>
  <c r="AL59" i="10" a="1"/>
  <c r="AL59" i="10" s="1"/>
  <c r="AL60" i="10" a="1"/>
  <c r="AL60" i="10" s="1"/>
  <c r="AL61" i="10" a="1"/>
  <c r="AL61" i="10" s="1"/>
  <c r="AL62" i="10" a="1"/>
  <c r="AL62" i="10" s="1"/>
  <c r="AL63" i="10" a="1"/>
  <c r="AL63" i="10" s="1"/>
  <c r="AL64" i="10" a="1"/>
  <c r="AL64" i="10" s="1"/>
  <c r="AL65" i="10" a="1"/>
  <c r="AL65" i="10" s="1"/>
  <c r="AL66" i="10" a="1"/>
  <c r="AL66" i="10" s="1"/>
  <c r="AL67" i="10" a="1"/>
  <c r="AL67" i="10" s="1"/>
  <c r="AL68" i="10" a="1"/>
  <c r="AL68" i="10" s="1"/>
  <c r="AL69" i="10" a="1"/>
  <c r="AL69" i="10" s="1"/>
  <c r="AL70" i="10" a="1"/>
  <c r="AL70" i="10" s="1"/>
  <c r="AL71" i="10" a="1"/>
  <c r="AL71" i="10" s="1"/>
  <c r="AL72" i="10" a="1"/>
  <c r="AL72" i="10" s="1"/>
  <c r="AL73" i="10" a="1"/>
  <c r="AL73" i="10" s="1"/>
  <c r="AL74" i="10" a="1"/>
  <c r="AL74" i="10" s="1"/>
  <c r="AL75" i="10" a="1"/>
  <c r="AL75" i="10" s="1"/>
  <c r="AL76" i="10" a="1"/>
  <c r="AL76" i="10" s="1"/>
  <c r="AL77" i="10" a="1"/>
  <c r="AL77" i="10" s="1"/>
  <c r="AL78" i="10" a="1"/>
  <c r="AL78" i="10" s="1"/>
  <c r="AL79" i="10" a="1"/>
  <c r="AL79" i="10" s="1"/>
  <c r="AL80" i="10" a="1"/>
  <c r="AL80" i="10" s="1"/>
  <c r="AL81" i="10" a="1"/>
  <c r="AL81" i="10" s="1"/>
  <c r="AL82" i="10" a="1"/>
  <c r="AL82" i="10" s="1"/>
  <c r="AL83" i="10" a="1"/>
  <c r="AL83" i="10" s="1"/>
  <c r="AL84" i="10" a="1"/>
  <c r="AL84" i="10" s="1"/>
  <c r="AL85" i="10" a="1"/>
  <c r="AL85" i="10" s="1"/>
  <c r="AL86" i="10" a="1"/>
  <c r="AL86" i="10" s="1"/>
  <c r="AL87" i="10" a="1"/>
  <c r="AL87" i="10" s="1"/>
  <c r="AL88" i="10" a="1"/>
  <c r="AL88" i="10" s="1"/>
  <c r="AL89" i="10" a="1"/>
  <c r="AL89" i="10" s="1"/>
  <c r="AL90" i="10" a="1"/>
  <c r="AL90" i="10" s="1"/>
  <c r="AL91" i="10" a="1"/>
  <c r="AL91" i="10" s="1"/>
  <c r="AL92" i="10" a="1"/>
  <c r="AL92" i="10" s="1"/>
  <c r="AL93" i="10" a="1"/>
  <c r="AL93" i="10" s="1"/>
  <c r="AL94" i="10" a="1"/>
  <c r="AL94" i="10" s="1"/>
  <c r="AL95" i="10" a="1"/>
  <c r="AL95" i="10" s="1"/>
  <c r="AL96" i="10" a="1"/>
  <c r="AL96" i="10" s="1"/>
  <c r="AL97" i="10" a="1"/>
  <c r="AL97" i="10" s="1"/>
  <c r="AL98" i="10" a="1"/>
  <c r="AL98" i="10" s="1"/>
  <c r="AL99" i="10" a="1"/>
  <c r="AL99" i="10" s="1"/>
  <c r="AL10" i="10" a="1"/>
  <c r="AL10" i="10" s="1"/>
  <c r="Z83" i="10"/>
  <c r="AA83" i="10"/>
  <c r="AB83" i="10"/>
  <c r="AC83" i="10"/>
  <c r="AD83" i="10"/>
  <c r="AE83" i="10"/>
  <c r="Z84" i="10"/>
  <c r="AA84" i="10"/>
  <c r="AB84" i="10"/>
  <c r="AC84" i="10"/>
  <c r="AD84" i="10"/>
  <c r="AE84" i="10"/>
  <c r="Z85" i="10"/>
  <c r="AA85" i="10"/>
  <c r="AB85" i="10"/>
  <c r="AC85" i="10"/>
  <c r="AD85" i="10"/>
  <c r="AE85" i="10"/>
  <c r="Z86" i="10"/>
  <c r="AA86" i="10"/>
  <c r="AB86" i="10"/>
  <c r="AC86" i="10"/>
  <c r="AD86" i="10"/>
  <c r="AE86" i="10"/>
  <c r="Z87" i="10"/>
  <c r="AA87" i="10"/>
  <c r="AB87" i="10"/>
  <c r="AC87" i="10"/>
  <c r="AD87" i="10"/>
  <c r="AE87" i="10"/>
  <c r="Z88" i="10"/>
  <c r="AA88" i="10"/>
  <c r="AB88" i="10"/>
  <c r="AC88" i="10"/>
  <c r="AD88" i="10"/>
  <c r="AE88" i="10"/>
  <c r="Z89" i="10"/>
  <c r="AA89" i="10"/>
  <c r="AB89" i="10"/>
  <c r="AC89" i="10"/>
  <c r="AD89" i="10"/>
  <c r="AE89" i="10"/>
  <c r="Z90" i="10"/>
  <c r="AA90" i="10"/>
  <c r="AB90" i="10"/>
  <c r="AC90" i="10"/>
  <c r="AD90" i="10"/>
  <c r="AE90" i="10"/>
  <c r="Z91" i="10"/>
  <c r="AA91" i="10"/>
  <c r="AB91" i="10"/>
  <c r="AC91" i="10"/>
  <c r="AD91" i="10"/>
  <c r="AE91" i="10"/>
  <c r="Z92" i="10"/>
  <c r="AA92" i="10"/>
  <c r="AB92" i="10"/>
  <c r="AC92" i="10"/>
  <c r="AD92" i="10"/>
  <c r="AE92" i="10"/>
  <c r="Z93" i="10"/>
  <c r="AA93" i="10"/>
  <c r="AB93" i="10"/>
  <c r="AC93" i="10"/>
  <c r="AD93" i="10"/>
  <c r="AE93" i="10"/>
  <c r="Z94" i="10"/>
  <c r="AA94" i="10"/>
  <c r="AB94" i="10"/>
  <c r="AC94" i="10"/>
  <c r="AD94" i="10"/>
  <c r="AE94" i="10"/>
  <c r="Z95" i="10"/>
  <c r="AA95" i="10"/>
  <c r="AB95" i="10"/>
  <c r="AC95" i="10"/>
  <c r="AD95" i="10"/>
  <c r="AE95" i="10"/>
  <c r="Z96" i="10"/>
  <c r="AA96" i="10"/>
  <c r="AB96" i="10"/>
  <c r="AC96" i="10"/>
  <c r="AD96" i="10"/>
  <c r="AE96" i="10"/>
  <c r="Z97" i="10"/>
  <c r="AA97" i="10"/>
  <c r="AB97" i="10"/>
  <c r="AC97" i="10"/>
  <c r="AD97" i="10"/>
  <c r="AE97" i="10"/>
  <c r="Z98" i="10"/>
  <c r="AA98" i="10"/>
  <c r="AB98" i="10"/>
  <c r="AC98" i="10"/>
  <c r="AD98" i="10"/>
  <c r="AE98" i="10"/>
  <c r="Z99" i="10"/>
  <c r="AA99" i="10"/>
  <c r="AB99" i="10"/>
  <c r="AC99" i="10"/>
  <c r="AD99" i="10"/>
  <c r="AE99" i="10"/>
  <c r="Y83" i="10" a="1"/>
  <c r="Y83" i="10" s="1"/>
  <c r="Y84" i="10" a="1"/>
  <c r="Y84" i="10" s="1"/>
  <c r="Y85" i="10" a="1"/>
  <c r="Y85" i="10" s="1"/>
  <c r="Y86" i="10" a="1"/>
  <c r="Y86" i="10" s="1"/>
  <c r="Y87" i="10" a="1"/>
  <c r="Y87" i="10" s="1"/>
  <c r="Y88" i="10" a="1"/>
  <c r="Y88" i="10" s="1"/>
  <c r="Y89" i="10" a="1"/>
  <c r="Y89" i="10" s="1"/>
  <c r="Y90" i="10" a="1"/>
  <c r="Y90" i="10" s="1"/>
  <c r="Y91" i="10" a="1"/>
  <c r="Y91" i="10" s="1"/>
  <c r="Y92" i="10" a="1"/>
  <c r="Y92" i="10" s="1"/>
  <c r="Y93" i="10" a="1"/>
  <c r="Y93" i="10" s="1"/>
  <c r="Y94" i="10" a="1"/>
  <c r="Y94" i="10" s="1"/>
  <c r="Y95" i="10" a="1"/>
  <c r="Y95" i="10" s="1"/>
  <c r="Y96" i="10" a="1"/>
  <c r="Y96" i="10" s="1"/>
  <c r="Y97" i="10" a="1"/>
  <c r="Y97" i="10" s="1"/>
  <c r="Y98" i="10" a="1"/>
  <c r="Y98" i="10" s="1"/>
  <c r="Y99" i="10" a="1"/>
  <c r="Y99" i="10" s="1"/>
  <c r="M83" i="10" a="1"/>
  <c r="M83" i="10" s="1"/>
  <c r="M84" i="10" a="1"/>
  <c r="M84" i="10" s="1"/>
  <c r="M85" i="10" a="1"/>
  <c r="M85" i="10" s="1"/>
  <c r="M86" i="10" a="1"/>
  <c r="M86" i="10" s="1"/>
  <c r="M87" i="10" a="1"/>
  <c r="M87" i="10" s="1"/>
  <c r="M88" i="10" a="1"/>
  <c r="M88" i="10" s="1"/>
  <c r="M89" i="10" a="1"/>
  <c r="M89" i="10" s="1"/>
  <c r="M90" i="10" a="1"/>
  <c r="M90" i="10" s="1"/>
  <c r="M91" i="10" a="1"/>
  <c r="M91" i="10" s="1"/>
  <c r="M92" i="10" a="1"/>
  <c r="M92" i="10" s="1"/>
  <c r="M93" i="10" a="1"/>
  <c r="M93" i="10" s="1"/>
  <c r="M94" i="10" a="1"/>
  <c r="M94" i="10" s="1"/>
  <c r="M95" i="10" a="1"/>
  <c r="M95" i="10" s="1"/>
  <c r="M96" i="10" a="1"/>
  <c r="M96" i="10" s="1"/>
  <c r="M97" i="10" a="1"/>
  <c r="M97" i="10" s="1"/>
  <c r="M98" i="10" a="1"/>
  <c r="M98" i="10" s="1"/>
  <c r="M99" i="10" a="1"/>
  <c r="M99" i="10" s="1"/>
  <c r="I83" i="10" a="1"/>
  <c r="I83" i="10" s="1"/>
  <c r="I84" i="10" a="1"/>
  <c r="I84" i="10" s="1"/>
  <c r="I85" i="10" a="1"/>
  <c r="I85" i="10" s="1"/>
  <c r="I86" i="10" a="1"/>
  <c r="I86" i="10" s="1"/>
  <c r="I87" i="10" a="1"/>
  <c r="I87" i="10" s="1"/>
  <c r="I88" i="10" a="1"/>
  <c r="I88" i="10" s="1"/>
  <c r="I89" i="10" a="1"/>
  <c r="I89" i="10" s="1"/>
  <c r="I90" i="10" a="1"/>
  <c r="I90" i="10" s="1"/>
  <c r="I91" i="10" a="1"/>
  <c r="I91" i="10" s="1"/>
  <c r="I92" i="10" a="1"/>
  <c r="I92" i="10" s="1"/>
  <c r="I93" i="10" a="1"/>
  <c r="I93" i="10" s="1"/>
  <c r="I94" i="10" a="1"/>
  <c r="I94" i="10" s="1"/>
  <c r="I95" i="10" a="1"/>
  <c r="I95" i="10" s="1"/>
  <c r="I96" i="10" a="1"/>
  <c r="I96" i="10" s="1"/>
  <c r="I97" i="10" a="1"/>
  <c r="I97" i="10" s="1"/>
  <c r="I98" i="10" a="1"/>
  <c r="I98" i="10" s="1"/>
  <c r="I99" i="10" a="1"/>
  <c r="I99" i="10" s="1"/>
  <c r="AU121" i="10"/>
  <c r="AV121" i="10"/>
  <c r="AU122" i="10"/>
  <c r="AV122" i="10"/>
  <c r="AU123" i="10"/>
  <c r="AV123" i="10"/>
  <c r="AU124" i="10"/>
  <c r="AV124" i="10"/>
  <c r="AU125" i="10"/>
  <c r="AV125" i="10"/>
  <c r="AU126" i="10"/>
  <c r="AV126" i="10"/>
  <c r="AV105" i="10"/>
  <c r="AV104" i="10"/>
  <c r="AV103" i="10"/>
  <c r="AU105" i="10"/>
  <c r="AU104" i="10"/>
  <c r="AU103" i="10"/>
  <c r="AV102" i="10"/>
  <c r="AU102" i="10"/>
  <c r="AU101" i="10"/>
  <c r="AV101" i="10"/>
  <c r="AU100" i="10"/>
  <c r="AV100" i="10"/>
  <c r="AW11" i="10" a="1"/>
  <c r="AW11" i="10" s="1"/>
  <c r="AW12" i="10" a="1"/>
  <c r="AW12" i="10" s="1"/>
  <c r="AW13" i="10" a="1"/>
  <c r="AW13" i="10" s="1"/>
  <c r="AW14" i="10" a="1"/>
  <c r="AW14" i="10" s="1"/>
  <c r="AW15" i="10" a="1"/>
  <c r="AW15" i="10" s="1"/>
  <c r="AW16" i="10" a="1"/>
  <c r="AW16" i="10" s="1"/>
  <c r="AW17" i="10" a="1"/>
  <c r="AW17" i="10" s="1"/>
  <c r="AW18" i="10" a="1"/>
  <c r="AW18" i="10" s="1"/>
  <c r="AW19" i="10" a="1"/>
  <c r="AW19" i="10" s="1"/>
  <c r="AW20" i="10" a="1"/>
  <c r="AW20" i="10" s="1"/>
  <c r="AW21" i="10" a="1"/>
  <c r="AW21" i="10" s="1"/>
  <c r="AW22" i="10" a="1"/>
  <c r="AW22" i="10" s="1"/>
  <c r="AW23" i="10" a="1"/>
  <c r="AW23" i="10" s="1"/>
  <c r="AW24" i="10" a="1"/>
  <c r="AW24" i="10" s="1"/>
  <c r="AW25" i="10" a="1"/>
  <c r="AW25" i="10" s="1"/>
  <c r="AW26" i="10" a="1"/>
  <c r="AW26" i="10" s="1"/>
  <c r="AW27" i="10" a="1"/>
  <c r="AW27" i="10" s="1"/>
  <c r="AW28" i="10" a="1"/>
  <c r="AW28" i="10" s="1"/>
  <c r="AW29" i="10" a="1"/>
  <c r="AW29" i="10" s="1"/>
  <c r="AW30" i="10" a="1"/>
  <c r="AW30" i="10" s="1"/>
  <c r="AW31" i="10" a="1"/>
  <c r="AW31" i="10" s="1"/>
  <c r="AW32" i="10" a="1"/>
  <c r="AW32" i="10" s="1"/>
  <c r="AW33" i="10" a="1"/>
  <c r="AW33" i="10" s="1"/>
  <c r="AW34" i="10" a="1"/>
  <c r="AW34" i="10" s="1"/>
  <c r="AW35" i="10" a="1"/>
  <c r="AW35" i="10" s="1"/>
  <c r="AW36" i="10" a="1"/>
  <c r="AW36" i="10" s="1"/>
  <c r="AW37" i="10" a="1"/>
  <c r="AW37" i="10" s="1"/>
  <c r="AW38" i="10" a="1"/>
  <c r="AW38" i="10" s="1"/>
  <c r="AW39" i="10" a="1"/>
  <c r="AW39" i="10" s="1"/>
  <c r="AW40" i="10" a="1"/>
  <c r="AW40" i="10" s="1"/>
  <c r="AW41" i="10" a="1"/>
  <c r="AW41" i="10" s="1"/>
  <c r="AW42" i="10" a="1"/>
  <c r="AW42" i="10" s="1"/>
  <c r="AW43" i="10" a="1"/>
  <c r="AW43" i="10" s="1"/>
  <c r="AW44" i="10" a="1"/>
  <c r="AW44" i="10" s="1"/>
  <c r="AW45" i="10" a="1"/>
  <c r="AW45" i="10" s="1"/>
  <c r="AW46" i="10" a="1"/>
  <c r="AW46" i="10" s="1"/>
  <c r="AW47" i="10" a="1"/>
  <c r="AW47" i="10" s="1"/>
  <c r="AW48" i="10" a="1"/>
  <c r="AW48" i="10" s="1"/>
  <c r="AW49" i="10" a="1"/>
  <c r="AW49" i="10" s="1"/>
  <c r="AW50" i="10" a="1"/>
  <c r="AW50" i="10" s="1"/>
  <c r="AW51" i="10" a="1"/>
  <c r="AW51" i="10" s="1"/>
  <c r="AW52" i="10" a="1"/>
  <c r="AW52" i="10" s="1"/>
  <c r="AW53" i="10" a="1"/>
  <c r="AW53" i="10" s="1"/>
  <c r="AW54" i="10" a="1"/>
  <c r="AW54" i="10" s="1"/>
  <c r="AW55" i="10" a="1"/>
  <c r="AW55" i="10" s="1"/>
  <c r="AW56" i="10" a="1"/>
  <c r="AW56" i="10" s="1"/>
  <c r="AW57" i="10" a="1"/>
  <c r="AW57" i="10" s="1"/>
  <c r="AW58" i="10" a="1"/>
  <c r="AW58" i="10" s="1"/>
  <c r="AW59" i="10" a="1"/>
  <c r="AW59" i="10" s="1"/>
  <c r="AW60" i="10" a="1"/>
  <c r="AW60" i="10" s="1"/>
  <c r="AW61" i="10" a="1"/>
  <c r="AW61" i="10" s="1"/>
  <c r="AW62" i="10" a="1"/>
  <c r="AW62" i="10" s="1"/>
  <c r="AW63" i="10" a="1"/>
  <c r="AW63" i="10" s="1"/>
  <c r="AW64" i="10" a="1"/>
  <c r="AW64" i="10" s="1"/>
  <c r="AW65" i="10" a="1"/>
  <c r="AW65" i="10" s="1"/>
  <c r="AW66" i="10" a="1"/>
  <c r="AW66" i="10" s="1"/>
  <c r="AW67" i="10" a="1"/>
  <c r="AW67" i="10" s="1"/>
  <c r="AW68" i="10" a="1"/>
  <c r="AW68" i="10" s="1"/>
  <c r="AW69" i="10" a="1"/>
  <c r="AW69" i="10" s="1"/>
  <c r="AW70" i="10" a="1"/>
  <c r="AW70" i="10" s="1"/>
  <c r="AW71" i="10" a="1"/>
  <c r="AW71" i="10" s="1"/>
  <c r="AW72" i="10" a="1"/>
  <c r="AW72" i="10" s="1"/>
  <c r="AW73" i="10" a="1"/>
  <c r="AW73" i="10" s="1"/>
  <c r="AW74" i="10" a="1"/>
  <c r="AW74" i="10" s="1"/>
  <c r="AW75" i="10" a="1"/>
  <c r="AW75" i="10" s="1"/>
  <c r="AW76" i="10" a="1"/>
  <c r="AW76" i="10" s="1"/>
  <c r="AW77" i="10" a="1"/>
  <c r="AW77" i="10" s="1"/>
  <c r="AW78" i="10" a="1"/>
  <c r="AW78" i="10" s="1"/>
  <c r="AW79" i="10" a="1"/>
  <c r="AW79" i="10" s="1"/>
  <c r="AW80" i="10" a="1"/>
  <c r="AW80" i="10" s="1"/>
  <c r="AW81" i="10" a="1"/>
  <c r="AW81" i="10" s="1"/>
  <c r="AW82" i="10" a="1"/>
  <c r="AW82" i="10" s="1"/>
  <c r="AW10" i="10" a="1"/>
  <c r="AW10" i="10" s="1"/>
  <c r="AD12" i="10"/>
  <c r="Z13" i="10"/>
  <c r="AA13" i="10"/>
  <c r="AB13" i="10"/>
  <c r="AC13" i="10"/>
  <c r="AD13" i="10"/>
  <c r="AE13" i="10"/>
  <c r="Z14" i="10"/>
  <c r="AA14" i="10"/>
  <c r="AB14" i="10"/>
  <c r="AC14" i="10"/>
  <c r="AD14" i="10"/>
  <c r="AE14" i="10"/>
  <c r="Z15" i="10"/>
  <c r="AA15" i="10"/>
  <c r="AB15" i="10"/>
  <c r="AC15" i="10"/>
  <c r="AD15" i="10"/>
  <c r="AE15" i="10"/>
  <c r="Z16" i="10"/>
  <c r="AA16" i="10"/>
  <c r="AB16" i="10"/>
  <c r="AC16" i="10"/>
  <c r="AD16" i="10"/>
  <c r="AE16" i="10"/>
  <c r="Z17" i="10"/>
  <c r="AA17" i="10"/>
  <c r="AB17" i="10"/>
  <c r="AC17" i="10"/>
  <c r="AD17" i="10"/>
  <c r="AE17" i="10"/>
  <c r="Z18" i="10"/>
  <c r="AA18" i="10"/>
  <c r="AB18" i="10"/>
  <c r="AC18" i="10"/>
  <c r="AD18" i="10"/>
  <c r="AE18" i="10"/>
  <c r="Z19" i="10"/>
  <c r="AA19" i="10"/>
  <c r="AB19" i="10"/>
  <c r="AC19" i="10"/>
  <c r="AD19" i="10"/>
  <c r="AE19" i="10"/>
  <c r="Z20" i="10"/>
  <c r="AA20" i="10"/>
  <c r="AB20" i="10"/>
  <c r="AC20" i="10"/>
  <c r="AD20" i="10"/>
  <c r="AE20" i="10"/>
  <c r="Z21" i="10"/>
  <c r="AA21" i="10"/>
  <c r="AB21" i="10"/>
  <c r="AC21" i="10"/>
  <c r="AD21" i="10"/>
  <c r="AE21" i="10"/>
  <c r="Z22" i="10"/>
  <c r="AA22" i="10"/>
  <c r="AB22" i="10"/>
  <c r="AC22" i="10"/>
  <c r="AD22" i="10"/>
  <c r="AE22" i="10"/>
  <c r="Z23" i="10"/>
  <c r="AA23" i="10"/>
  <c r="AB23" i="10"/>
  <c r="AC23" i="10"/>
  <c r="AD23" i="10"/>
  <c r="AE23" i="10"/>
  <c r="Z24" i="10"/>
  <c r="AA24" i="10"/>
  <c r="AB24" i="10"/>
  <c r="AC24" i="10"/>
  <c r="AD24" i="10"/>
  <c r="AE24" i="10"/>
  <c r="Z25" i="10"/>
  <c r="AA25" i="10"/>
  <c r="AB25" i="10"/>
  <c r="AC25" i="10"/>
  <c r="AD25" i="10"/>
  <c r="AE25" i="10"/>
  <c r="Z26" i="10"/>
  <c r="AA26" i="10"/>
  <c r="AB26" i="10"/>
  <c r="AC26" i="10"/>
  <c r="AD26" i="10"/>
  <c r="AE26" i="10"/>
  <c r="Z27" i="10"/>
  <c r="AA27" i="10"/>
  <c r="AB27" i="10"/>
  <c r="AC27" i="10"/>
  <c r="AD27" i="10"/>
  <c r="AE27" i="10"/>
  <c r="Z28" i="10"/>
  <c r="AA28" i="10"/>
  <c r="AB28" i="10"/>
  <c r="AC28" i="10"/>
  <c r="AD28" i="10"/>
  <c r="AE28" i="10"/>
  <c r="Z29" i="10"/>
  <c r="AA29" i="10"/>
  <c r="AB29" i="10"/>
  <c r="AC29" i="10"/>
  <c r="AD29" i="10"/>
  <c r="AE29" i="10"/>
  <c r="Z30" i="10"/>
  <c r="AA30" i="10"/>
  <c r="AB30" i="10"/>
  <c r="AC30" i="10"/>
  <c r="AD30" i="10"/>
  <c r="AE30" i="10"/>
  <c r="Z31" i="10"/>
  <c r="AA31" i="10"/>
  <c r="AB31" i="10"/>
  <c r="AC31" i="10"/>
  <c r="AD31" i="10"/>
  <c r="AE31" i="10"/>
  <c r="Z32" i="10"/>
  <c r="AA32" i="10"/>
  <c r="AB32" i="10"/>
  <c r="AC32" i="10"/>
  <c r="AD32" i="10"/>
  <c r="AE32" i="10"/>
  <c r="Z33" i="10"/>
  <c r="AA33" i="10"/>
  <c r="AB33" i="10"/>
  <c r="AC33" i="10"/>
  <c r="AD33" i="10"/>
  <c r="AE33" i="10"/>
  <c r="Z34" i="10"/>
  <c r="AA34" i="10"/>
  <c r="AB34" i="10"/>
  <c r="AC34" i="10"/>
  <c r="AD34" i="10"/>
  <c r="AE34" i="10"/>
  <c r="Z35" i="10"/>
  <c r="AA35" i="10"/>
  <c r="AB35" i="10"/>
  <c r="AC35" i="10"/>
  <c r="AD35" i="10"/>
  <c r="AE35" i="10"/>
  <c r="Z36" i="10"/>
  <c r="AA36" i="10"/>
  <c r="AB36" i="10"/>
  <c r="AC36" i="10"/>
  <c r="AD36" i="10"/>
  <c r="AE36" i="10"/>
  <c r="Z37" i="10"/>
  <c r="AA37" i="10"/>
  <c r="AB37" i="10"/>
  <c r="AC37" i="10"/>
  <c r="AD37" i="10"/>
  <c r="AE37" i="10"/>
  <c r="Z38" i="10"/>
  <c r="AA38" i="10"/>
  <c r="AB38" i="10"/>
  <c r="AC38" i="10"/>
  <c r="AD38" i="10"/>
  <c r="AE38" i="10"/>
  <c r="Z39" i="10"/>
  <c r="AA39" i="10"/>
  <c r="AB39" i="10"/>
  <c r="AC39" i="10"/>
  <c r="AD39" i="10"/>
  <c r="AE39" i="10"/>
  <c r="Z40" i="10"/>
  <c r="AA40" i="10"/>
  <c r="AB40" i="10"/>
  <c r="AC40" i="10"/>
  <c r="AD40" i="10"/>
  <c r="AE40" i="10"/>
  <c r="Z41" i="10"/>
  <c r="AA41" i="10"/>
  <c r="AB41" i="10"/>
  <c r="AC41" i="10"/>
  <c r="AD41" i="10"/>
  <c r="AE41" i="10"/>
  <c r="Z42" i="10"/>
  <c r="AA42" i="10"/>
  <c r="AB42" i="10"/>
  <c r="AC42" i="10"/>
  <c r="AD42" i="10"/>
  <c r="AE42" i="10"/>
  <c r="Z43" i="10"/>
  <c r="AA43" i="10"/>
  <c r="AB43" i="10"/>
  <c r="AC43" i="10"/>
  <c r="AD43" i="10"/>
  <c r="AE43" i="10"/>
  <c r="Z44" i="10"/>
  <c r="AA44" i="10"/>
  <c r="AB44" i="10"/>
  <c r="AC44" i="10"/>
  <c r="AD44" i="10"/>
  <c r="AE44" i="10"/>
  <c r="Z45" i="10"/>
  <c r="AA45" i="10"/>
  <c r="AB45" i="10"/>
  <c r="AC45" i="10"/>
  <c r="AD45" i="10"/>
  <c r="AE45" i="10"/>
  <c r="Z46" i="10"/>
  <c r="AA46" i="10"/>
  <c r="AB46" i="10"/>
  <c r="AC46" i="10"/>
  <c r="AD46" i="10"/>
  <c r="AE46" i="10"/>
  <c r="Z47" i="10"/>
  <c r="AA47" i="10"/>
  <c r="AB47" i="10"/>
  <c r="AC47" i="10"/>
  <c r="AD47" i="10"/>
  <c r="AE47" i="10"/>
  <c r="Z48" i="10"/>
  <c r="AA48" i="10"/>
  <c r="AB48" i="10"/>
  <c r="AC48" i="10"/>
  <c r="AD48" i="10"/>
  <c r="AE48" i="10"/>
  <c r="Z49" i="10"/>
  <c r="AA49" i="10"/>
  <c r="AB49" i="10"/>
  <c r="AC49" i="10"/>
  <c r="AD49" i="10"/>
  <c r="AE49" i="10"/>
  <c r="Z50" i="10"/>
  <c r="AA50" i="10"/>
  <c r="AB50" i="10"/>
  <c r="AC50" i="10"/>
  <c r="AD50" i="10"/>
  <c r="AE50" i="10"/>
  <c r="Z51" i="10"/>
  <c r="AA51" i="10"/>
  <c r="AB51" i="10"/>
  <c r="AC51" i="10"/>
  <c r="AD51" i="10"/>
  <c r="AE51" i="10"/>
  <c r="Z52" i="10"/>
  <c r="AA52" i="10"/>
  <c r="AB52" i="10"/>
  <c r="AC52" i="10"/>
  <c r="AD52" i="10"/>
  <c r="AE52" i="10"/>
  <c r="Z53" i="10"/>
  <c r="AA53" i="10"/>
  <c r="AB53" i="10"/>
  <c r="AC53" i="10"/>
  <c r="AD53" i="10"/>
  <c r="AE53" i="10"/>
  <c r="Z54" i="10"/>
  <c r="AA54" i="10"/>
  <c r="AB54" i="10"/>
  <c r="AC54" i="10"/>
  <c r="AD54" i="10"/>
  <c r="AE54" i="10"/>
  <c r="Z55" i="10"/>
  <c r="AA55" i="10"/>
  <c r="AB55" i="10"/>
  <c r="AC55" i="10"/>
  <c r="AD55" i="10"/>
  <c r="AE55" i="10"/>
  <c r="Z56" i="10"/>
  <c r="AA56" i="10"/>
  <c r="AB56" i="10"/>
  <c r="AC56" i="10"/>
  <c r="AD56" i="10"/>
  <c r="AE56" i="10"/>
  <c r="Z57" i="10"/>
  <c r="AA57" i="10"/>
  <c r="AB57" i="10"/>
  <c r="AC57" i="10"/>
  <c r="AD57" i="10"/>
  <c r="AE57" i="10"/>
  <c r="Z58" i="10"/>
  <c r="AA58" i="10"/>
  <c r="AB58" i="10"/>
  <c r="AC58" i="10"/>
  <c r="AD58" i="10"/>
  <c r="AE58" i="10"/>
  <c r="Z59" i="10"/>
  <c r="AA59" i="10"/>
  <c r="AB59" i="10"/>
  <c r="AC59" i="10"/>
  <c r="AD59" i="10"/>
  <c r="AE59" i="10"/>
  <c r="Z60" i="10"/>
  <c r="AA60" i="10"/>
  <c r="AB60" i="10"/>
  <c r="AC60" i="10"/>
  <c r="AD60" i="10"/>
  <c r="AE60" i="10"/>
  <c r="Z61" i="10"/>
  <c r="AA61" i="10"/>
  <c r="AB61" i="10"/>
  <c r="AC61" i="10"/>
  <c r="AD61" i="10"/>
  <c r="AE61" i="10"/>
  <c r="Z62" i="10"/>
  <c r="AA62" i="10"/>
  <c r="AB62" i="10"/>
  <c r="AC62" i="10"/>
  <c r="AD62" i="10"/>
  <c r="AE62" i="10"/>
  <c r="Z63" i="10"/>
  <c r="AA63" i="10"/>
  <c r="AB63" i="10"/>
  <c r="AC63" i="10"/>
  <c r="AD63" i="10"/>
  <c r="AE63" i="10"/>
  <c r="Z64" i="10"/>
  <c r="AA64" i="10"/>
  <c r="AB64" i="10"/>
  <c r="AC64" i="10"/>
  <c r="AD64" i="10"/>
  <c r="AE64" i="10"/>
  <c r="Z65" i="10"/>
  <c r="AA65" i="10"/>
  <c r="AB65" i="10"/>
  <c r="AC65" i="10"/>
  <c r="AD65" i="10"/>
  <c r="AE65" i="10"/>
  <c r="Z66" i="10"/>
  <c r="AA66" i="10"/>
  <c r="AB66" i="10"/>
  <c r="AC66" i="10"/>
  <c r="AD66" i="10"/>
  <c r="AE66" i="10"/>
  <c r="Z67" i="10"/>
  <c r="AA67" i="10"/>
  <c r="AB67" i="10"/>
  <c r="AC67" i="10"/>
  <c r="AD67" i="10"/>
  <c r="AE67" i="10"/>
  <c r="Z68" i="10"/>
  <c r="AA68" i="10"/>
  <c r="AB68" i="10"/>
  <c r="AC68" i="10"/>
  <c r="AD68" i="10"/>
  <c r="AE68" i="10"/>
  <c r="Z69" i="10"/>
  <c r="AA69" i="10"/>
  <c r="AB69" i="10"/>
  <c r="AC69" i="10"/>
  <c r="AD69" i="10"/>
  <c r="AE69" i="10"/>
  <c r="Z70" i="10"/>
  <c r="AA70" i="10"/>
  <c r="AB70" i="10"/>
  <c r="AC70" i="10"/>
  <c r="AD70" i="10"/>
  <c r="AE70" i="10"/>
  <c r="Z71" i="10"/>
  <c r="AA71" i="10"/>
  <c r="AB71" i="10"/>
  <c r="AC71" i="10"/>
  <c r="AD71" i="10"/>
  <c r="AE71" i="10"/>
  <c r="Z72" i="10"/>
  <c r="AA72" i="10"/>
  <c r="AB72" i="10"/>
  <c r="AC72" i="10"/>
  <c r="AD72" i="10"/>
  <c r="AE72" i="10"/>
  <c r="Z73" i="10"/>
  <c r="AA73" i="10"/>
  <c r="AB73" i="10"/>
  <c r="AC73" i="10"/>
  <c r="AD73" i="10"/>
  <c r="AE73" i="10"/>
  <c r="Z74" i="10"/>
  <c r="AA74" i="10"/>
  <c r="AB74" i="10"/>
  <c r="AC74" i="10"/>
  <c r="AD74" i="10"/>
  <c r="AE74" i="10"/>
  <c r="Z75" i="10"/>
  <c r="AA75" i="10"/>
  <c r="AB75" i="10"/>
  <c r="AC75" i="10"/>
  <c r="AD75" i="10"/>
  <c r="AE75" i="10"/>
  <c r="Z76" i="10"/>
  <c r="AA76" i="10"/>
  <c r="AB76" i="10"/>
  <c r="AC76" i="10"/>
  <c r="AD76" i="10"/>
  <c r="AE76" i="10"/>
  <c r="Z77" i="10"/>
  <c r="AA77" i="10"/>
  <c r="AB77" i="10"/>
  <c r="AC77" i="10"/>
  <c r="AD77" i="10"/>
  <c r="AE77" i="10"/>
  <c r="Z78" i="10"/>
  <c r="AA78" i="10"/>
  <c r="AB78" i="10"/>
  <c r="AC78" i="10"/>
  <c r="AD78" i="10"/>
  <c r="AE78" i="10"/>
  <c r="Z79" i="10"/>
  <c r="AA79" i="10"/>
  <c r="AB79" i="10"/>
  <c r="AC79" i="10"/>
  <c r="AD79" i="10"/>
  <c r="AE79" i="10"/>
  <c r="Z80" i="10"/>
  <c r="AA80" i="10"/>
  <c r="AB80" i="10"/>
  <c r="AC80" i="10"/>
  <c r="AD80" i="10"/>
  <c r="AE80" i="10"/>
  <c r="Z81" i="10"/>
  <c r="AA81" i="10"/>
  <c r="AB81" i="10"/>
  <c r="AC81" i="10"/>
  <c r="AD81" i="10"/>
  <c r="AE81" i="10"/>
  <c r="Z82" i="10"/>
  <c r="AA82" i="10"/>
  <c r="AB82" i="10"/>
  <c r="AC82" i="10"/>
  <c r="AD82" i="10"/>
  <c r="AE82" i="10"/>
  <c r="Y11" i="10" a="1"/>
  <c r="Y11" i="10" s="1"/>
  <c r="Z11" i="10" s="1"/>
  <c r="Y12" i="10" a="1"/>
  <c r="Y12" i="10" s="1"/>
  <c r="Y13" i="10" a="1"/>
  <c r="Y13" i="10" s="1"/>
  <c r="Y14" i="10" a="1"/>
  <c r="Y14" i="10" s="1"/>
  <c r="Y15" i="10" a="1"/>
  <c r="Y15" i="10" s="1"/>
  <c r="Y16" i="10" a="1"/>
  <c r="Y16" i="10" s="1"/>
  <c r="Y17" i="10" a="1"/>
  <c r="Y17" i="10" s="1"/>
  <c r="Y18" i="10" a="1"/>
  <c r="Y18" i="10" s="1"/>
  <c r="Y19" i="10" a="1"/>
  <c r="Y19" i="10" s="1"/>
  <c r="Y20" i="10" a="1"/>
  <c r="Y20" i="10" s="1"/>
  <c r="Y21" i="10" a="1"/>
  <c r="Y21" i="10" s="1"/>
  <c r="Y22" i="10" a="1"/>
  <c r="Y22" i="10" s="1"/>
  <c r="Y23" i="10" a="1"/>
  <c r="Y23" i="10" s="1"/>
  <c r="Y24" i="10" a="1"/>
  <c r="Y24" i="10" s="1"/>
  <c r="Y25" i="10" a="1"/>
  <c r="Y25" i="10" s="1"/>
  <c r="Y26" i="10" a="1"/>
  <c r="Y26" i="10" s="1"/>
  <c r="Y27" i="10" a="1"/>
  <c r="Y27" i="10" s="1"/>
  <c r="Y28" i="10" a="1"/>
  <c r="Y28" i="10" s="1"/>
  <c r="Y29" i="10" a="1"/>
  <c r="Y29" i="10" s="1"/>
  <c r="Y30" i="10" a="1"/>
  <c r="Y30" i="10" s="1"/>
  <c r="Y31" i="10" a="1"/>
  <c r="Y31" i="10" s="1"/>
  <c r="Y32" i="10" a="1"/>
  <c r="Y32" i="10" s="1"/>
  <c r="Y33" i="10" a="1"/>
  <c r="Y33" i="10" s="1"/>
  <c r="Y34" i="10" a="1"/>
  <c r="Y34" i="10" s="1"/>
  <c r="Y35" i="10" a="1"/>
  <c r="Y35" i="10" s="1"/>
  <c r="Y36" i="10" a="1"/>
  <c r="Y36" i="10" s="1"/>
  <c r="Y37" i="10" a="1"/>
  <c r="Y37" i="10" s="1"/>
  <c r="Y38" i="10" a="1"/>
  <c r="Y38" i="10" s="1"/>
  <c r="Y39" i="10" a="1"/>
  <c r="Y39" i="10" s="1"/>
  <c r="Y40" i="10" a="1"/>
  <c r="Y40" i="10" s="1"/>
  <c r="Y41" i="10" a="1"/>
  <c r="Y41" i="10" s="1"/>
  <c r="Y42" i="10" a="1"/>
  <c r="Y42" i="10" s="1"/>
  <c r="Y43" i="10" a="1"/>
  <c r="Y43" i="10" s="1"/>
  <c r="Y44" i="10" a="1"/>
  <c r="Y44" i="10" s="1"/>
  <c r="Y45" i="10" a="1"/>
  <c r="Y45" i="10" s="1"/>
  <c r="Y46" i="10" a="1"/>
  <c r="Y46" i="10" s="1"/>
  <c r="Y47" i="10" a="1"/>
  <c r="Y47" i="10" s="1"/>
  <c r="Y48" i="10" a="1"/>
  <c r="Y48" i="10" s="1"/>
  <c r="Y49" i="10" a="1"/>
  <c r="Y49" i="10" s="1"/>
  <c r="Y50" i="10" a="1"/>
  <c r="Y50" i="10" s="1"/>
  <c r="Y51" i="10" a="1"/>
  <c r="Y51" i="10" s="1"/>
  <c r="Y52" i="10" a="1"/>
  <c r="Y52" i="10" s="1"/>
  <c r="Y53" i="10" a="1"/>
  <c r="Y53" i="10" s="1"/>
  <c r="Y54" i="10" a="1"/>
  <c r="Y54" i="10" s="1"/>
  <c r="Y55" i="10" a="1"/>
  <c r="Y55" i="10" s="1"/>
  <c r="Y56" i="10" a="1"/>
  <c r="Y56" i="10" s="1"/>
  <c r="Y57" i="10" a="1"/>
  <c r="Y57" i="10" s="1"/>
  <c r="Y58" i="10" a="1"/>
  <c r="Y58" i="10" s="1"/>
  <c r="Y59" i="10" a="1"/>
  <c r="Y59" i="10" s="1"/>
  <c r="Y60" i="10" a="1"/>
  <c r="Y60" i="10" s="1"/>
  <c r="Y61" i="10" a="1"/>
  <c r="Y61" i="10" s="1"/>
  <c r="Y62" i="10" a="1"/>
  <c r="Y62" i="10" s="1"/>
  <c r="Y63" i="10" a="1"/>
  <c r="Y63" i="10" s="1"/>
  <c r="Y64" i="10" a="1"/>
  <c r="Y64" i="10" s="1"/>
  <c r="Y65" i="10" a="1"/>
  <c r="Y65" i="10" s="1"/>
  <c r="Y66" i="10" a="1"/>
  <c r="Y66" i="10" s="1"/>
  <c r="Y67" i="10" a="1"/>
  <c r="Y67" i="10" s="1"/>
  <c r="Y68" i="10" a="1"/>
  <c r="Y68" i="10" s="1"/>
  <c r="Y69" i="10" a="1"/>
  <c r="Y69" i="10" s="1"/>
  <c r="Y70" i="10" a="1"/>
  <c r="Y70" i="10" s="1"/>
  <c r="Y71" i="10" a="1"/>
  <c r="Y71" i="10" s="1"/>
  <c r="Y72" i="10" a="1"/>
  <c r="Y72" i="10" s="1"/>
  <c r="Y73" i="10" a="1"/>
  <c r="Y73" i="10" s="1"/>
  <c r="Y74" i="10" a="1"/>
  <c r="Y74" i="10" s="1"/>
  <c r="Y75" i="10" a="1"/>
  <c r="Y75" i="10" s="1"/>
  <c r="Y76" i="10" a="1"/>
  <c r="Y76" i="10" s="1"/>
  <c r="Y77" i="10" a="1"/>
  <c r="Y77" i="10" s="1"/>
  <c r="Y78" i="10" a="1"/>
  <c r="Y78" i="10" s="1"/>
  <c r="Y79" i="10" a="1"/>
  <c r="Y79" i="10" s="1"/>
  <c r="Y80" i="10" a="1"/>
  <c r="Y80" i="10" s="1"/>
  <c r="Y81" i="10" a="1"/>
  <c r="Y81" i="10" s="1"/>
  <c r="Y82" i="10" a="1"/>
  <c r="Y82" i="10" s="1"/>
  <c r="Y10" i="10" a="1"/>
  <c r="Y10" i="10" s="1"/>
  <c r="Y9" i="10"/>
  <c r="M11" i="10" a="1"/>
  <c r="M11" i="10" s="1"/>
  <c r="M12" i="10" a="1"/>
  <c r="M12" i="10" s="1"/>
  <c r="M13" i="10" a="1"/>
  <c r="M13" i="10" s="1"/>
  <c r="M14" i="10" a="1"/>
  <c r="M14" i="10" s="1"/>
  <c r="M15" i="10" a="1"/>
  <c r="M15" i="10" s="1"/>
  <c r="M16" i="10" a="1"/>
  <c r="M16" i="10" s="1"/>
  <c r="M17" i="10" a="1"/>
  <c r="M17" i="10" s="1"/>
  <c r="M18" i="10" a="1"/>
  <c r="M18" i="10" s="1"/>
  <c r="M19" i="10" a="1"/>
  <c r="M19" i="10" s="1"/>
  <c r="M20" i="10" a="1"/>
  <c r="M20" i="10" s="1"/>
  <c r="M21" i="10" a="1"/>
  <c r="M21" i="10" s="1"/>
  <c r="M22" i="10" a="1"/>
  <c r="M22" i="10" s="1"/>
  <c r="M23" i="10" a="1"/>
  <c r="M23" i="10" s="1"/>
  <c r="M24" i="10" a="1"/>
  <c r="M24" i="10" s="1"/>
  <c r="M25" i="10" a="1"/>
  <c r="M25" i="10" s="1"/>
  <c r="M26" i="10" a="1"/>
  <c r="M26" i="10" s="1"/>
  <c r="M27" i="10" a="1"/>
  <c r="M27" i="10" s="1"/>
  <c r="M28" i="10" a="1"/>
  <c r="M28" i="10" s="1"/>
  <c r="M29" i="10" a="1"/>
  <c r="M29" i="10" s="1"/>
  <c r="M30" i="10" a="1"/>
  <c r="M30" i="10" s="1"/>
  <c r="M31" i="10" a="1"/>
  <c r="M31" i="10" s="1"/>
  <c r="M32" i="10" a="1"/>
  <c r="M32" i="10" s="1"/>
  <c r="M33" i="10" a="1"/>
  <c r="M33" i="10" s="1"/>
  <c r="M34" i="10" a="1"/>
  <c r="M34" i="10" s="1"/>
  <c r="M35" i="10" a="1"/>
  <c r="M35" i="10" s="1"/>
  <c r="M36" i="10" a="1"/>
  <c r="M36" i="10" s="1"/>
  <c r="M37" i="10" a="1"/>
  <c r="M37" i="10" s="1"/>
  <c r="M38" i="10" a="1"/>
  <c r="M38" i="10" s="1"/>
  <c r="M39" i="10" a="1"/>
  <c r="M39" i="10" s="1"/>
  <c r="M40" i="10" a="1"/>
  <c r="M40" i="10" s="1"/>
  <c r="M41" i="10" a="1"/>
  <c r="M41" i="10" s="1"/>
  <c r="M42" i="10" a="1"/>
  <c r="M42" i="10" s="1"/>
  <c r="M43" i="10" a="1"/>
  <c r="M43" i="10" s="1"/>
  <c r="M44" i="10" a="1"/>
  <c r="M44" i="10" s="1"/>
  <c r="M45" i="10" a="1"/>
  <c r="M45" i="10" s="1"/>
  <c r="M46" i="10" a="1"/>
  <c r="M46" i="10" s="1"/>
  <c r="M47" i="10" a="1"/>
  <c r="M47" i="10" s="1"/>
  <c r="M48" i="10" a="1"/>
  <c r="M48" i="10" s="1"/>
  <c r="M49" i="10" a="1"/>
  <c r="M49" i="10" s="1"/>
  <c r="M50" i="10" a="1"/>
  <c r="M50" i="10" s="1"/>
  <c r="M51" i="10" a="1"/>
  <c r="M51" i="10" s="1"/>
  <c r="M52" i="10" a="1"/>
  <c r="M52" i="10" s="1"/>
  <c r="M53" i="10" a="1"/>
  <c r="M53" i="10" s="1"/>
  <c r="M54" i="10" a="1"/>
  <c r="M54" i="10" s="1"/>
  <c r="M55" i="10" a="1"/>
  <c r="M55" i="10" s="1"/>
  <c r="M56" i="10" a="1"/>
  <c r="M56" i="10" s="1"/>
  <c r="M57" i="10" a="1"/>
  <c r="M57" i="10" s="1"/>
  <c r="M58" i="10" a="1"/>
  <c r="M58" i="10" s="1"/>
  <c r="M59" i="10" a="1"/>
  <c r="M59" i="10" s="1"/>
  <c r="M60" i="10" a="1"/>
  <c r="M60" i="10" s="1"/>
  <c r="M61" i="10" a="1"/>
  <c r="M61" i="10" s="1"/>
  <c r="M62" i="10" a="1"/>
  <c r="M62" i="10" s="1"/>
  <c r="M63" i="10" a="1"/>
  <c r="M63" i="10" s="1"/>
  <c r="M64" i="10" a="1"/>
  <c r="M64" i="10" s="1"/>
  <c r="M65" i="10" a="1"/>
  <c r="M65" i="10" s="1"/>
  <c r="M66" i="10" a="1"/>
  <c r="M66" i="10" s="1"/>
  <c r="M67" i="10" a="1"/>
  <c r="M67" i="10" s="1"/>
  <c r="M68" i="10" a="1"/>
  <c r="M68" i="10" s="1"/>
  <c r="M69" i="10" a="1"/>
  <c r="M69" i="10" s="1"/>
  <c r="M70" i="10" a="1"/>
  <c r="M70" i="10" s="1"/>
  <c r="M71" i="10" a="1"/>
  <c r="M71" i="10" s="1"/>
  <c r="M72" i="10" a="1"/>
  <c r="M72" i="10" s="1"/>
  <c r="M73" i="10" a="1"/>
  <c r="M73" i="10" s="1"/>
  <c r="M74" i="10" a="1"/>
  <c r="M74" i="10" s="1"/>
  <c r="M75" i="10" a="1"/>
  <c r="M75" i="10" s="1"/>
  <c r="M76" i="10" a="1"/>
  <c r="M76" i="10" s="1"/>
  <c r="M77" i="10" a="1"/>
  <c r="M77" i="10" s="1"/>
  <c r="M78" i="10" a="1"/>
  <c r="M78" i="10" s="1"/>
  <c r="M79" i="10" a="1"/>
  <c r="M79" i="10" s="1"/>
  <c r="M80" i="10" a="1"/>
  <c r="M80" i="10" s="1"/>
  <c r="M81" i="10" a="1"/>
  <c r="M81" i="10" s="1"/>
  <c r="M82" i="10" a="1"/>
  <c r="M82" i="10" s="1"/>
  <c r="I11" i="10" a="1"/>
  <c r="I11" i="10" s="1"/>
  <c r="I12" i="10" a="1"/>
  <c r="I12" i="10" s="1"/>
  <c r="I13" i="10" a="1"/>
  <c r="I13" i="10" s="1"/>
  <c r="I14" i="10" a="1"/>
  <c r="I14" i="10" s="1"/>
  <c r="I15" i="10" a="1"/>
  <c r="I15" i="10" s="1"/>
  <c r="I16" i="10" a="1"/>
  <c r="I16" i="10" s="1"/>
  <c r="I17" i="10" a="1"/>
  <c r="I17" i="10" s="1"/>
  <c r="I18" i="10" a="1"/>
  <c r="I18" i="10" s="1"/>
  <c r="I19" i="10" a="1"/>
  <c r="I19" i="10" s="1"/>
  <c r="I20" i="10" a="1"/>
  <c r="I20" i="10" s="1"/>
  <c r="I21" i="10" a="1"/>
  <c r="I21" i="10" s="1"/>
  <c r="I22" i="10" a="1"/>
  <c r="I22" i="10" s="1"/>
  <c r="I23" i="10" a="1"/>
  <c r="I23" i="10" s="1"/>
  <c r="I24" i="10" a="1"/>
  <c r="I24" i="10" s="1"/>
  <c r="I25" i="10" a="1"/>
  <c r="I25" i="10" s="1"/>
  <c r="I26" i="10" a="1"/>
  <c r="I26" i="10" s="1"/>
  <c r="I27" i="10" a="1"/>
  <c r="I27" i="10" s="1"/>
  <c r="I28" i="10" a="1"/>
  <c r="I28" i="10" s="1"/>
  <c r="I29" i="10" a="1"/>
  <c r="I29" i="10" s="1"/>
  <c r="I30" i="10" a="1"/>
  <c r="I30" i="10" s="1"/>
  <c r="I31" i="10" a="1"/>
  <c r="I31" i="10" s="1"/>
  <c r="I32" i="10" a="1"/>
  <c r="I32" i="10" s="1"/>
  <c r="I33" i="10" a="1"/>
  <c r="I33" i="10" s="1"/>
  <c r="I34" i="10" a="1"/>
  <c r="I34" i="10" s="1"/>
  <c r="I35" i="10" a="1"/>
  <c r="I35" i="10" s="1"/>
  <c r="I36" i="10" a="1"/>
  <c r="I36" i="10" s="1"/>
  <c r="I37" i="10" a="1"/>
  <c r="I37" i="10" s="1"/>
  <c r="I38" i="10" a="1"/>
  <c r="I38" i="10" s="1"/>
  <c r="I39" i="10" a="1"/>
  <c r="I39" i="10" s="1"/>
  <c r="I40" i="10" a="1"/>
  <c r="I40" i="10" s="1"/>
  <c r="I41" i="10" a="1"/>
  <c r="I41" i="10" s="1"/>
  <c r="I42" i="10" a="1"/>
  <c r="I42" i="10" s="1"/>
  <c r="I43" i="10" a="1"/>
  <c r="I43" i="10" s="1"/>
  <c r="I44" i="10" a="1"/>
  <c r="I44" i="10" s="1"/>
  <c r="I45" i="10" a="1"/>
  <c r="I45" i="10" s="1"/>
  <c r="I46" i="10" a="1"/>
  <c r="I46" i="10" s="1"/>
  <c r="I47" i="10" a="1"/>
  <c r="I47" i="10" s="1"/>
  <c r="I48" i="10" a="1"/>
  <c r="I48" i="10" s="1"/>
  <c r="I49" i="10" a="1"/>
  <c r="I49" i="10" s="1"/>
  <c r="I50" i="10" a="1"/>
  <c r="I50" i="10" s="1"/>
  <c r="I51" i="10" a="1"/>
  <c r="I51" i="10" s="1"/>
  <c r="I52" i="10" a="1"/>
  <c r="I52" i="10" s="1"/>
  <c r="I53" i="10" a="1"/>
  <c r="I53" i="10" s="1"/>
  <c r="I54" i="10" a="1"/>
  <c r="I54" i="10" s="1"/>
  <c r="I55" i="10" a="1"/>
  <c r="I55" i="10" s="1"/>
  <c r="I56" i="10" a="1"/>
  <c r="I56" i="10" s="1"/>
  <c r="I57" i="10" a="1"/>
  <c r="I57" i="10" s="1"/>
  <c r="I58" i="10" a="1"/>
  <c r="I58" i="10" s="1"/>
  <c r="I59" i="10" a="1"/>
  <c r="I59" i="10" s="1"/>
  <c r="I60" i="10" a="1"/>
  <c r="I60" i="10" s="1"/>
  <c r="I61" i="10" a="1"/>
  <c r="I61" i="10" s="1"/>
  <c r="I62" i="10" a="1"/>
  <c r="I62" i="10" s="1"/>
  <c r="I63" i="10" a="1"/>
  <c r="I63" i="10" s="1"/>
  <c r="I64" i="10" a="1"/>
  <c r="I64" i="10" s="1"/>
  <c r="I65" i="10" a="1"/>
  <c r="I65" i="10" s="1"/>
  <c r="I66" i="10" a="1"/>
  <c r="I66" i="10" s="1"/>
  <c r="I67" i="10" a="1"/>
  <c r="I67" i="10" s="1"/>
  <c r="I68" i="10" a="1"/>
  <c r="I68" i="10" s="1"/>
  <c r="I69" i="10" a="1"/>
  <c r="I69" i="10" s="1"/>
  <c r="I70" i="10" a="1"/>
  <c r="I70" i="10" s="1"/>
  <c r="I71" i="10" a="1"/>
  <c r="I71" i="10" s="1"/>
  <c r="I72" i="10" a="1"/>
  <c r="I72" i="10" s="1"/>
  <c r="I73" i="10" a="1"/>
  <c r="I73" i="10" s="1"/>
  <c r="I74" i="10" a="1"/>
  <c r="I74" i="10" s="1"/>
  <c r="I75" i="10" a="1"/>
  <c r="I75" i="10" s="1"/>
  <c r="I76" i="10" a="1"/>
  <c r="I76" i="10" s="1"/>
  <c r="I77" i="10" a="1"/>
  <c r="I77" i="10" s="1"/>
  <c r="I78" i="10" a="1"/>
  <c r="I78" i="10" s="1"/>
  <c r="I79" i="10" a="1"/>
  <c r="I79" i="10" s="1"/>
  <c r="I80" i="10" a="1"/>
  <c r="I80" i="10" s="1"/>
  <c r="I81" i="10" a="1"/>
  <c r="I81" i="10" s="1"/>
  <c r="I82" i="10" a="1"/>
  <c r="I82" i="10" s="1"/>
  <c r="M10" i="10" a="1"/>
  <c r="M10" i="10" s="1"/>
  <c r="I10" i="10" a="1"/>
  <c r="I10" i="10" s="1"/>
  <c r="AX105" i="10"/>
  <c r="AX104" i="10"/>
  <c r="AX103" i="10"/>
  <c r="AX102" i="10"/>
  <c r="AX101" i="10"/>
  <c r="AX100" i="10"/>
  <c r="AB12" i="10" l="1"/>
  <c r="AC12" i="10"/>
  <c r="AE12" i="10"/>
  <c r="Z12" i="10"/>
  <c r="AA12" i="10"/>
  <c r="AV106" i="10"/>
  <c r="AV107" i="10" s="1"/>
  <c r="AU106" i="10"/>
  <c r="AU107" i="10" s="1"/>
  <c r="AC11" i="10"/>
  <c r="AB11" i="10"/>
  <c r="AE11" i="10"/>
  <c r="AA11" i="10"/>
  <c r="AD11" i="10"/>
  <c r="AC10" i="10"/>
  <c r="AB10" i="10"/>
  <c r="AE10" i="10"/>
  <c r="AA10" i="10"/>
  <c r="AD10" i="10"/>
  <c r="Z10" i="10"/>
  <c r="AX106" i="10"/>
  <c r="AX107" i="10" s="1"/>
  <c r="AS126" i="10"/>
  <c r="AR126" i="10"/>
  <c r="AO126" i="10"/>
  <c r="AN126" i="10"/>
  <c r="AM126" i="10"/>
  <c r="AT125" i="10"/>
  <c r="AQ125" i="10"/>
  <c r="AO125" i="10"/>
  <c r="AN125" i="10"/>
  <c r="AM125" i="10"/>
  <c r="AS124" i="10"/>
  <c r="AR124" i="10"/>
  <c r="AP124" i="10"/>
  <c r="AT123" i="10"/>
  <c r="AS123" i="10"/>
  <c r="AR123" i="10"/>
  <c r="AQ123" i="10"/>
  <c r="AN123" i="10"/>
  <c r="AM123" i="10"/>
  <c r="AS122" i="10"/>
  <c r="AR122" i="10"/>
  <c r="AP122" i="10"/>
  <c r="AT121" i="10"/>
  <c r="AS121" i="10"/>
  <c r="AQ121" i="10"/>
  <c r="AP121" i="10"/>
  <c r="AO121" i="10"/>
  <c r="AN121" i="10"/>
  <c r="AT105" i="10"/>
  <c r="AS105" i="10"/>
  <c r="AR105" i="10"/>
  <c r="AQ105" i="10"/>
  <c r="AP105" i="10"/>
  <c r="AO105" i="10"/>
  <c r="AN105" i="10"/>
  <c r="AM105" i="10"/>
  <c r="AT104" i="10"/>
  <c r="AS104" i="10"/>
  <c r="AR104" i="10"/>
  <c r="AQ104" i="10"/>
  <c r="AP104" i="10"/>
  <c r="AO104" i="10"/>
  <c r="AN104" i="10"/>
  <c r="AM104" i="10"/>
  <c r="AT103" i="10"/>
  <c r="AS103" i="10"/>
  <c r="AR103" i="10"/>
  <c r="AQ103" i="10"/>
  <c r="AP103" i="10"/>
  <c r="AO103" i="10"/>
  <c r="AN103" i="10"/>
  <c r="AM103" i="10"/>
  <c r="AT102" i="10"/>
  <c r="AS102" i="10"/>
  <c r="AR102" i="10"/>
  <c r="AQ102" i="10"/>
  <c r="AP102" i="10"/>
  <c r="AO102" i="10"/>
  <c r="AN102" i="10"/>
  <c r="AM102" i="10"/>
  <c r="AT101" i="10"/>
  <c r="AS101" i="10"/>
  <c r="AR101" i="10"/>
  <c r="AQ101" i="10"/>
  <c r="AP101" i="10"/>
  <c r="AO101" i="10"/>
  <c r="AN101" i="10"/>
  <c r="AM101" i="10"/>
  <c r="AT100" i="10"/>
  <c r="AS100" i="10"/>
  <c r="AR100" i="10"/>
  <c r="AQ100" i="10"/>
  <c r="AP100" i="10"/>
  <c r="AO100" i="10"/>
  <c r="AN100" i="10"/>
  <c r="AM100" i="10"/>
  <c r="AS106" i="10" l="1"/>
  <c r="AS107" i="10" s="1"/>
  <c r="AS125" i="10" s="1"/>
  <c r="AR106" i="10"/>
  <c r="AR107" i="10" s="1"/>
  <c r="AT106" i="10"/>
  <c r="AT107" i="10" s="1"/>
  <c r="AP106" i="10"/>
  <c r="AP107" i="10" s="1"/>
  <c r="AO106" i="10"/>
  <c r="AO107" i="10" s="1"/>
  <c r="AO124" i="10" s="1"/>
  <c r="AQ106" i="10"/>
  <c r="AQ107" i="10" s="1"/>
  <c r="AM106" i="10"/>
  <c r="AM107" i="10" s="1"/>
  <c r="AN106" i="10"/>
  <c r="AN107" i="10" s="1"/>
  <c r="AW102" i="10"/>
  <c r="AW105" i="10"/>
  <c r="AW103" i="10"/>
  <c r="AW100" i="10"/>
  <c r="AW104" i="10"/>
  <c r="AW101" i="10"/>
  <c r="AM122" i="10" l="1"/>
  <c r="AM121" i="10"/>
  <c r="AM124" i="10"/>
  <c r="AT126" i="10"/>
  <c r="AT122" i="10"/>
  <c r="AT124" i="10"/>
  <c r="AP123" i="10"/>
  <c r="AP126" i="10"/>
  <c r="AP125" i="10"/>
  <c r="AQ126" i="10"/>
  <c r="AQ122" i="10"/>
  <c r="AQ124" i="10"/>
  <c r="AR125" i="10"/>
  <c r="AR121" i="10"/>
  <c r="AO123" i="10"/>
  <c r="AW123" i="10" s="1"/>
  <c r="AO122" i="10"/>
  <c r="AN122" i="10"/>
  <c r="AN124" i="10"/>
  <c r="AW106" i="10"/>
  <c r="AW107" i="10" s="1"/>
  <c r="AW126" i="10" l="1"/>
  <c r="AW121" i="10"/>
  <c r="AW124" i="10"/>
  <c r="AW125" i="10"/>
  <c r="AW122" i="10"/>
  <c r="AK105" i="10"/>
  <c r="AJ105" i="10"/>
  <c r="AI105" i="10"/>
  <c r="AH105" i="10"/>
  <c r="AG105" i="10"/>
  <c r="AF105" i="10"/>
  <c r="AK104" i="10"/>
  <c r="AJ104" i="10"/>
  <c r="AI104" i="10"/>
  <c r="AH104" i="10"/>
  <c r="AG104" i="10"/>
  <c r="AF104" i="10"/>
  <c r="AK103" i="10"/>
  <c r="AJ103" i="10"/>
  <c r="AI103" i="10"/>
  <c r="AH103" i="10"/>
  <c r="AG103" i="10"/>
  <c r="AF103" i="10"/>
  <c r="AK102" i="10"/>
  <c r="AJ102" i="10"/>
  <c r="AI102" i="10"/>
  <c r="AH102" i="10"/>
  <c r="AG102" i="10"/>
  <c r="AF102" i="10"/>
  <c r="AK101" i="10"/>
  <c r="AJ101" i="10"/>
  <c r="AI101" i="10"/>
  <c r="AH101" i="10"/>
  <c r="AG101" i="10"/>
  <c r="AF101" i="10"/>
  <c r="AK100" i="10"/>
  <c r="AJ100" i="10"/>
  <c r="AI100" i="10"/>
  <c r="AH100" i="10"/>
  <c r="AG100" i="10"/>
  <c r="AF100" i="10"/>
  <c r="AL9" i="10"/>
  <c r="AG106" i="10" l="1"/>
  <c r="AK106" i="10"/>
  <c r="AK107" i="10" s="1"/>
  <c r="AJ106" i="10"/>
  <c r="AJ107" i="10" s="1"/>
  <c r="AL102" i="10"/>
  <c r="AF106" i="10"/>
  <c r="AF107" i="10" s="1"/>
  <c r="AH106" i="10"/>
  <c r="AH107" i="10" s="1"/>
  <c r="AL103" i="10"/>
  <c r="AI106" i="10"/>
  <c r="AI107" i="10" s="1"/>
  <c r="AG107" i="10"/>
  <c r="AL101" i="10"/>
  <c r="AL105" i="10"/>
  <c r="AL100" i="10"/>
  <c r="AL104" i="10"/>
  <c r="AL106" i="10" l="1"/>
  <c r="AL107" i="10" s="1"/>
  <c r="AC105" i="10" l="1"/>
  <c r="AB104" i="10"/>
  <c r="AA102" i="10"/>
  <c r="AC104" i="10"/>
  <c r="Z102" i="10"/>
  <c r="AD102" i="10"/>
  <c r="AB103" i="10"/>
  <c r="AA103" i="10"/>
  <c r="AE103" i="10"/>
  <c r="AC100" i="10"/>
  <c r="AE102" i="10"/>
  <c r="Z101" i="10"/>
  <c r="Z100" i="10"/>
  <c r="AD100" i="10"/>
  <c r="AA101" i="10"/>
  <c r="AE101" i="10"/>
  <c r="AB102" i="10"/>
  <c r="AC103" i="10"/>
  <c r="Z104" i="10"/>
  <c r="AD104" i="10"/>
  <c r="AA105" i="10"/>
  <c r="AE105" i="10"/>
  <c r="AD101" i="10"/>
  <c r="AD105" i="10"/>
  <c r="AA100" i="10"/>
  <c r="AE100" i="10"/>
  <c r="AB101" i="10"/>
  <c r="AC102" i="10"/>
  <c r="Z103" i="10"/>
  <c r="AD103" i="10"/>
  <c r="AA104" i="10"/>
  <c r="AE104" i="10"/>
  <c r="AB105" i="10"/>
  <c r="Z105" i="10"/>
  <c r="AB100" i="10"/>
  <c r="AC101" i="10"/>
  <c r="AA106" i="10" l="1"/>
  <c r="AA107" i="10" s="1"/>
  <c r="Z106" i="10"/>
  <c r="Z107" i="10" s="1"/>
  <c r="AE106" i="10"/>
  <c r="AE107" i="10" s="1"/>
  <c r="AB106" i="10"/>
  <c r="AB107" i="10" s="1"/>
  <c r="AC106" i="10"/>
  <c r="AC107" i="10" s="1"/>
  <c r="AD106" i="10"/>
  <c r="AD107" i="10" s="1"/>
  <c r="L105" i="10" l="1"/>
  <c r="L104" i="10"/>
  <c r="L103" i="10"/>
  <c r="L102" i="10"/>
  <c r="K105" i="10"/>
  <c r="K104" i="10"/>
  <c r="K103" i="10"/>
  <c r="K102" i="10"/>
  <c r="J105" i="10"/>
  <c r="J104" i="10"/>
  <c r="J103" i="10"/>
  <c r="J102" i="10"/>
  <c r="L101" i="10"/>
  <c r="K101" i="10"/>
  <c r="J101" i="10"/>
  <c r="L100" i="10"/>
  <c r="K100" i="10"/>
  <c r="J100" i="10"/>
  <c r="H105" i="10"/>
  <c r="G105" i="10"/>
  <c r="H104" i="10"/>
  <c r="G104" i="10"/>
  <c r="H103" i="10"/>
  <c r="G103" i="10"/>
  <c r="H102" i="10"/>
  <c r="G102" i="10"/>
  <c r="G101" i="10"/>
  <c r="H101" i="10"/>
  <c r="G100" i="10"/>
  <c r="H100" i="10"/>
  <c r="F105" i="10"/>
  <c r="F104" i="10"/>
  <c r="F103" i="10"/>
  <c r="F102" i="10"/>
  <c r="F100" i="10"/>
  <c r="F101" i="10"/>
  <c r="M9" i="10"/>
  <c r="I9" i="10"/>
  <c r="M105" i="10" l="1"/>
  <c r="M102" i="10"/>
  <c r="M103" i="10"/>
  <c r="M104" i="10"/>
  <c r="I104" i="10"/>
  <c r="L106" i="10"/>
  <c r="L107" i="10" s="1"/>
  <c r="K106" i="10"/>
  <c r="K107" i="10" s="1"/>
  <c r="I101" i="10"/>
  <c r="M100" i="10"/>
  <c r="M101" i="10"/>
  <c r="J106" i="10"/>
  <c r="J107" i="10" s="1"/>
  <c r="I105" i="10"/>
  <c r="F106" i="10"/>
  <c r="F107" i="10" s="1"/>
  <c r="I103" i="10"/>
  <c r="G106" i="10"/>
  <c r="G107" i="10" s="1"/>
  <c r="I100" i="10"/>
  <c r="I102" i="10"/>
  <c r="H106" i="10"/>
  <c r="H107" i="10" s="1"/>
  <c r="M106" i="10" l="1"/>
  <c r="M107" i="10" s="1"/>
  <c r="I106" i="10"/>
  <c r="I107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<sst xmlns="http://schemas.openxmlformats.org/spreadsheetml/2006/main" count="386" uniqueCount="218">
  <si>
    <t>Roll No.</t>
  </si>
  <si>
    <t>Course Code</t>
  </si>
  <si>
    <t>Course Name</t>
  </si>
  <si>
    <t>Unit Test 1</t>
  </si>
  <si>
    <t>Unit Test 2</t>
  </si>
  <si>
    <t>Name of Student</t>
  </si>
  <si>
    <t>Q.1</t>
  </si>
  <si>
    <t>Q.2</t>
  </si>
  <si>
    <t>Q.3</t>
  </si>
  <si>
    <t>Total</t>
  </si>
  <si>
    <t>AB</t>
  </si>
  <si>
    <t>Max Marks</t>
  </si>
  <si>
    <t>COLLEGE OF ENGINEERING, PUNE</t>
  </si>
  <si>
    <t>Present</t>
  </si>
  <si>
    <t>Absent</t>
  </si>
  <si>
    <t>Attainment</t>
  </si>
  <si>
    <t>Academic Year-2018-19</t>
  </si>
  <si>
    <t>CLASS: B.TECH (CIVIL) SEM-I &amp; II</t>
  </si>
  <si>
    <t>Mapping</t>
  </si>
  <si>
    <t>Marks</t>
  </si>
  <si>
    <t>CO-1</t>
  </si>
  <si>
    <t>CO-2</t>
  </si>
  <si>
    <t>CO-3</t>
  </si>
  <si>
    <t>CO-4</t>
  </si>
  <si>
    <t>CO-5</t>
  </si>
  <si>
    <t>CO-6</t>
  </si>
  <si>
    <t>Q.4</t>
  </si>
  <si>
    <t>Q.5</t>
  </si>
  <si>
    <t>Q.6</t>
  </si>
  <si>
    <t>Expt.1</t>
  </si>
  <si>
    <t>Expt.2</t>
  </si>
  <si>
    <t>Expt.3</t>
  </si>
  <si>
    <t>Expt.4</t>
  </si>
  <si>
    <t>Expt.5</t>
  </si>
  <si>
    <t>Expt.6</t>
  </si>
  <si>
    <t>Expt.7</t>
  </si>
  <si>
    <t>Expt.8</t>
  </si>
  <si>
    <t>Avg.</t>
  </si>
  <si>
    <t>Attmnt</t>
  </si>
  <si>
    <t>CO Attainment</t>
  </si>
  <si>
    <t>OR</t>
  </si>
  <si>
    <t>Structural Design-I</t>
  </si>
  <si>
    <t>Semester End Exam (SEE)</t>
  </si>
  <si>
    <t>Term Work (TW)</t>
  </si>
  <si>
    <t>Oral/ Practical (OR/PR)</t>
  </si>
  <si>
    <t>Project Based Learning (PBL)</t>
  </si>
  <si>
    <t>S.No</t>
  </si>
  <si>
    <t>PRN</t>
  </si>
  <si>
    <t>Exam No</t>
  </si>
  <si>
    <t>Title</t>
  </si>
  <si>
    <t>1614110074</t>
  </si>
  <si>
    <t>1614110078</t>
  </si>
  <si>
    <t>1714110041</t>
  </si>
  <si>
    <t>1714110042</t>
  </si>
  <si>
    <t>1714110043</t>
  </si>
  <si>
    <t>1714110045</t>
  </si>
  <si>
    <t>1714110046</t>
  </si>
  <si>
    <t>1714110048</t>
  </si>
  <si>
    <t>1714110053</t>
  </si>
  <si>
    <t>1714110054</t>
  </si>
  <si>
    <t>1714110055</t>
  </si>
  <si>
    <t>1714110056</t>
  </si>
  <si>
    <t>1714110058</t>
  </si>
  <si>
    <t>1714110059</t>
  </si>
  <si>
    <t>1714110060</t>
  </si>
  <si>
    <t>1714110063</t>
  </si>
  <si>
    <t>1714110064</t>
  </si>
  <si>
    <t>1714110065</t>
  </si>
  <si>
    <t>1714110069</t>
  </si>
  <si>
    <t>1714110070</t>
  </si>
  <si>
    <t>1714110072</t>
  </si>
  <si>
    <t>1714110074</t>
  </si>
  <si>
    <t>1714110075</t>
  </si>
  <si>
    <t>1714110077</t>
  </si>
  <si>
    <t>1714110081</t>
  </si>
  <si>
    <t>1714110083</t>
  </si>
  <si>
    <t>1714110084</t>
  </si>
  <si>
    <t>1714110085</t>
  </si>
  <si>
    <t>1714110086</t>
  </si>
  <si>
    <t>1714110088</t>
  </si>
  <si>
    <t>1714110089</t>
  </si>
  <si>
    <t>1714110091</t>
  </si>
  <si>
    <t>1714110095</t>
  </si>
  <si>
    <t>1714110098</t>
  </si>
  <si>
    <t>1714110099</t>
  </si>
  <si>
    <t>1714110703</t>
  </si>
  <si>
    <t>1714110704</t>
  </si>
  <si>
    <t>1814110655</t>
  </si>
  <si>
    <t>1814110772</t>
  </si>
  <si>
    <t>1814110824</t>
  </si>
  <si>
    <t>1814110825</t>
  </si>
  <si>
    <t>1714110082</t>
  </si>
  <si>
    <t>1714110071</t>
  </si>
  <si>
    <t>1714110713</t>
  </si>
  <si>
    <t>1714110870</t>
  </si>
  <si>
    <t>1614110970</t>
  </si>
  <si>
    <t>1614110093</t>
  </si>
  <si>
    <t>1714110061</t>
  </si>
  <si>
    <t>1614110821</t>
  </si>
  <si>
    <t>1714110073</t>
  </si>
  <si>
    <t>1814110656</t>
  </si>
  <si>
    <t>1814110663</t>
  </si>
  <si>
    <t>1814110662</t>
  </si>
  <si>
    <t>1500000870</t>
  </si>
  <si>
    <t>1814110664</t>
  </si>
  <si>
    <t>1814110712</t>
  </si>
  <si>
    <t>1714110090</t>
  </si>
  <si>
    <t>1714110094</t>
  </si>
  <si>
    <t>1814110657</t>
  </si>
  <si>
    <t>1814110659</t>
  </si>
  <si>
    <t>1814110661</t>
  </si>
  <si>
    <t>1814110665</t>
  </si>
  <si>
    <t>1814110773</t>
  </si>
  <si>
    <t>1714110039</t>
  </si>
  <si>
    <t>1814110658</t>
  </si>
  <si>
    <t>1714110047</t>
  </si>
  <si>
    <t>1814110660</t>
  </si>
  <si>
    <t>1714110049</t>
  </si>
  <si>
    <t>1714110067</t>
  </si>
  <si>
    <t>1614110083</t>
  </si>
  <si>
    <t>1614110106</t>
  </si>
  <si>
    <t>1714110051</t>
  </si>
  <si>
    <t>1614110118</t>
  </si>
  <si>
    <t>1614110014</t>
  </si>
  <si>
    <t xml:space="preserve">KADAM NIKHIL NANDKUMAR                            </t>
  </si>
  <si>
    <t xml:space="preserve">SANSKAR CHOURASIA                                 </t>
  </si>
  <si>
    <t xml:space="preserve">ABHISHEK NIGAM                                    </t>
  </si>
  <si>
    <t xml:space="preserve">ABHISHEK VERMA                                    </t>
  </si>
  <si>
    <t xml:space="preserve">ADARSH PATEL                                      </t>
  </si>
  <si>
    <t xml:space="preserve">ADITYA KUMAR                                      </t>
  </si>
  <si>
    <t xml:space="preserve">AMAN KUMAR SINGH                                  </t>
  </si>
  <si>
    <t xml:space="preserve">ANKIT KUMAR AMAR                                  </t>
  </si>
  <si>
    <t xml:space="preserve">ASHUTOSH PANDEY                                   </t>
  </si>
  <si>
    <t xml:space="preserve">AVINASH MADDHESHIYA                               </t>
  </si>
  <si>
    <t xml:space="preserve">AYUSH KUMAR                                       </t>
  </si>
  <si>
    <t xml:space="preserve">AYUSH PODDAR                                      </t>
  </si>
  <si>
    <t xml:space="preserve">DEVENDRA SINGH                                    </t>
  </si>
  <si>
    <t xml:space="preserve">DEVESH UPADHYAY                                   </t>
  </si>
  <si>
    <t xml:space="preserve">DIVYAM GARG                                       </t>
  </si>
  <si>
    <t xml:space="preserve">HARJASON SINGH                                    </t>
  </si>
  <si>
    <t xml:space="preserve">HARSH SEHGAL                                      </t>
  </si>
  <si>
    <t xml:space="preserve">MANJU KUMARI                                      </t>
  </si>
  <si>
    <t xml:space="preserve">PATHAK SWATI DANI                                 </t>
  </si>
  <si>
    <t xml:space="preserve">PATIL HARSHVARDHAN NIVAS                          </t>
  </si>
  <si>
    <t xml:space="preserve">PIYUSH KUMAR                                      </t>
  </si>
  <si>
    <t xml:space="preserve">PRAVEEN YADAV                                     </t>
  </si>
  <si>
    <t xml:space="preserve">PREM SINGH                                        </t>
  </si>
  <si>
    <t xml:space="preserve">RAAMESH SHARAN MISHRA                             </t>
  </si>
  <si>
    <t xml:space="preserve">RUPESH KUMAR SINGH                                </t>
  </si>
  <si>
    <t xml:space="preserve">SHASHANK SINGH                                    </t>
  </si>
  <si>
    <t xml:space="preserve">SHRUTI YASHWANT KATKAR                            </t>
  </si>
  <si>
    <t xml:space="preserve">SHUBHAM KESHRI                                    </t>
  </si>
  <si>
    <t xml:space="preserve">SIDHANT RANJAN                                    </t>
  </si>
  <si>
    <t xml:space="preserve">SUDHANSHU RANJAN                                            </t>
  </si>
  <si>
    <t xml:space="preserve">SUJEET YADAV                                      </t>
  </si>
  <si>
    <t xml:space="preserve">SUSHIL KUMAR SINGH                                </t>
  </si>
  <si>
    <t xml:space="preserve">VISHWAJEET PRATAP SINGH                                     </t>
  </si>
  <si>
    <t xml:space="preserve">YASH PANDEY                                       </t>
  </si>
  <si>
    <t xml:space="preserve">ZAIN UL AARIFEEN DAR                              </t>
  </si>
  <si>
    <t xml:space="preserve">MOHAMMAD YOUSHAW MAJEED                           </t>
  </si>
  <si>
    <t xml:space="preserve">NAYEEM RASHID                                     </t>
  </si>
  <si>
    <t xml:space="preserve">ABHISHEK KAPRE                                    </t>
  </si>
  <si>
    <t xml:space="preserve">DESAI RANJAN JAISHING                             </t>
  </si>
  <si>
    <t xml:space="preserve">ROCHAK DUBEY                                      </t>
  </si>
  <si>
    <t xml:space="preserve">VEDANT SHARMA                                     </t>
  </si>
  <si>
    <t xml:space="preserve">SAURABH KUMAR                                     </t>
  </si>
  <si>
    <t xml:space="preserve">PATIL ROHAN RAMESH                                </t>
  </si>
  <si>
    <t xml:space="preserve">ANURAG KUMAR                                      </t>
  </si>
  <si>
    <t xml:space="preserve">SHIVAM RANJAN                                     </t>
  </si>
  <si>
    <t xml:space="preserve">SAKET SINGH                                       </t>
  </si>
  <si>
    <t xml:space="preserve">JASWANT SINGH RAO                                 </t>
  </si>
  <si>
    <t xml:space="preserve">DIVYANG RAJ VERMA                                 </t>
  </si>
  <si>
    <t xml:space="preserve"> JIGAR KULDEEP CHOUHAN                            </t>
  </si>
  <si>
    <t xml:space="preserve">PRAKHAR AGRAWAL                                   </t>
  </si>
  <si>
    <t xml:space="preserve">AHER PRATIK NITIN                                 </t>
  </si>
  <si>
    <t xml:space="preserve">SALUNKHE PRATIKA SANJAY                           </t>
  </si>
  <si>
    <t xml:space="preserve">POL ABHISHEK NATHAJI                              </t>
  </si>
  <si>
    <t xml:space="preserve">NAMAN CHAUHAN                                     </t>
  </si>
  <si>
    <t xml:space="preserve">SATHE PRUTHVIRAJ CHANDRAKANT                      </t>
  </si>
  <si>
    <t xml:space="preserve">HAVALDAR VISHAL ISHWAR                            </t>
  </si>
  <si>
    <t xml:space="preserve">SUMIT KUMAR SINGH                                 </t>
  </si>
  <si>
    <t xml:space="preserve">VIPUL PRAKASH                                               </t>
  </si>
  <si>
    <t xml:space="preserve">CHINTALWAR AJINKYA  AJAY                          </t>
  </si>
  <si>
    <t xml:space="preserve">METHA DARSHAN ARUN                                </t>
  </si>
  <si>
    <t xml:space="preserve">MOMIN WASIM BABALAL                               </t>
  </si>
  <si>
    <t xml:space="preserve">TAT DNYANESH FULCHAND                             </t>
  </si>
  <si>
    <t xml:space="preserve">KHAIRNAR SAIRAJ SUNIL                             </t>
  </si>
  <si>
    <t xml:space="preserve">ABHIJEET ANAND RAJ                                </t>
  </si>
  <si>
    <t xml:space="preserve">JADHAV NITESHKUMAR ANIL                           </t>
  </si>
  <si>
    <t xml:space="preserve">AMIQ TARIQ MASOODI                                </t>
  </si>
  <si>
    <t xml:space="preserve">MEHTA YASH SUNIL                                  </t>
  </si>
  <si>
    <t xml:space="preserve">ANKIT KUMAR OJHA                                  </t>
  </si>
  <si>
    <t xml:space="preserve">NISHANT SHARMA                                    </t>
  </si>
  <si>
    <t xml:space="preserve">VIVEK RANJAN                                      </t>
  </si>
  <si>
    <t xml:space="preserve">SHUBHAM SHUKLA                                    </t>
  </si>
  <si>
    <t xml:space="preserve">ANURAG PAL                                                  </t>
  </si>
  <si>
    <t xml:space="preserve">ABHISHEK SINGH                                    </t>
  </si>
  <si>
    <t xml:space="preserve">ANIKET BHUSHAN                                    </t>
  </si>
  <si>
    <t>Level</t>
  </si>
  <si>
    <t>=</t>
  </si>
  <si>
    <t>&lt;</t>
  </si>
  <si>
    <t>Poor</t>
  </si>
  <si>
    <t>L</t>
  </si>
  <si>
    <t>H</t>
  </si>
  <si>
    <t>M</t>
  </si>
  <si>
    <t>Performance Level</t>
  </si>
  <si>
    <t>Expt.9</t>
  </si>
  <si>
    <t>Expt.10</t>
  </si>
  <si>
    <t>PBL Marks</t>
  </si>
  <si>
    <t>PBL Mapping</t>
  </si>
  <si>
    <t>fdgllk oigdj dgsdg</t>
  </si>
  <si>
    <t>PBL Attainment</t>
  </si>
  <si>
    <t xml:space="preserve">BHARATI VIDYAPEETH </t>
  </si>
  <si>
    <t>(Deemed to be University)</t>
  </si>
  <si>
    <t>Concept</t>
  </si>
  <si>
    <t>Skill</t>
  </si>
  <si>
    <t>Team work</t>
  </si>
  <si>
    <t>Individual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</si>
</sst>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i/>
      <sz val="8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quotePrefix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1" fontId="5" fillId="10" borderId="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2" fontId="1" fillId="3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" fontId="5" fillId="9" borderId="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 applyProtection="1">
      <alignment horizontal="center" vertical="center"/>
      <protection locked="0"/>
    </xf>
    <xf numFmtId="0" fontId="2" fillId="13" borderId="6" xfId="0" applyFont="1" applyFill="1" applyBorder="1" applyAlignment="1" applyProtection="1">
      <alignment horizontal="center" vertical="center" wrapText="1"/>
      <protection locked="0"/>
    </xf>
    <xf numFmtId="0" fontId="1" fillId="13" borderId="1" xfId="0" applyFont="1" applyFill="1" applyBorder="1" applyAlignment="1" applyProtection="1">
      <alignment horizontal="center" vertical="center"/>
      <protection locked="0"/>
    </xf>
    <xf numFmtId="0" fontId="1" fillId="13" borderId="6" xfId="0" applyFont="1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 applyProtection="1">
      <alignment horizontal="center" vertical="center"/>
      <protection locked="0"/>
    </xf>
    <xf numFmtId="0" fontId="4" fillId="13" borderId="12" xfId="0" applyFont="1" applyFill="1" applyBorder="1" applyAlignment="1" applyProtection="1">
      <alignment vertic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0" fontId="4" fillId="13" borderId="6" xfId="0" applyFont="1" applyFill="1" applyBorder="1" applyAlignment="1" applyProtection="1">
      <alignment vertical="center"/>
      <protection locked="0"/>
    </xf>
    <xf numFmtId="0" fontId="0" fillId="13" borderId="5" xfId="0" applyFill="1" applyBorder="1" applyAlignment="1" applyProtection="1">
      <alignment horizontal="center" vertical="center"/>
      <protection locked="0"/>
    </xf>
    <xf numFmtId="0" fontId="4" fillId="13" borderId="5" xfId="0" applyFont="1" applyFill="1" applyBorder="1" applyAlignment="1" applyProtection="1">
      <alignment vertical="center"/>
      <protection locked="0"/>
    </xf>
    <xf numFmtId="0" fontId="0" fillId="13" borderId="6" xfId="0" applyFill="1" applyBorder="1" applyAlignment="1" applyProtection="1">
      <alignment horizontal="left" vertical="center"/>
      <protection locked="0"/>
    </xf>
    <xf numFmtId="0" fontId="8" fillId="13" borderId="6" xfId="0" applyFont="1" applyFill="1" applyBorder="1" applyAlignment="1" applyProtection="1">
      <alignment horizontal="center" vertical="center"/>
      <protection locked="0"/>
    </xf>
    <xf numFmtId="0" fontId="9" fillId="13" borderId="1" xfId="0" applyFont="1" applyFill="1" applyBorder="1" applyAlignment="1" applyProtection="1">
      <alignment horizontal="center" vertical="center"/>
      <protection locked="0"/>
    </xf>
    <xf numFmtId="0" fontId="9" fillId="13" borderId="5" xfId="0" applyFont="1" applyFill="1" applyBorder="1" applyAlignment="1" applyProtection="1">
      <alignment horizontal="center" vertical="center"/>
      <protection locked="0"/>
    </xf>
    <xf numFmtId="0" fontId="9" fillId="13" borderId="6" xfId="0" applyFont="1" applyFill="1" applyBorder="1" applyAlignment="1" applyProtection="1">
      <alignment horizontal="center" vertical="center"/>
      <protection locked="0"/>
    </xf>
    <xf numFmtId="0" fontId="9" fillId="13" borderId="4" xfId="0" applyFont="1" applyFill="1" applyBorder="1" applyAlignment="1" applyProtection="1">
      <alignment horizontal="center" vertical="center"/>
      <protection locked="0"/>
    </xf>
    <xf numFmtId="0" fontId="1" fillId="13" borderId="13" xfId="0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top" wrapText="1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top" wrapText="1"/>
    </xf>
    <xf numFmtId="0" fontId="2" fillId="7" borderId="10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 applyProtection="1">
      <alignment horizontal="center" vertical="center"/>
      <protection locked="0"/>
    </xf>
    <xf numFmtId="0" fontId="2" fillId="13" borderId="10" xfId="0" applyFont="1" applyFill="1" applyBorder="1" applyAlignment="1" applyProtection="1">
      <alignment horizontal="center" vertical="center"/>
      <protection locked="0"/>
    </xf>
    <xf numFmtId="0" fontId="2" fillId="13" borderId="11" xfId="0" applyFont="1" applyFill="1" applyBorder="1" applyAlignment="1" applyProtection="1">
      <alignment horizontal="center" vertical="center"/>
      <protection locked="0"/>
    </xf>
    <xf numFmtId="0" fontId="2" fillId="13" borderId="6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2"/>
  <sheetViews>
    <sheetView tabSelected="1" zoomScaleNormal="100" zoomScaleSheetLayoutView="100" workbookViewId="0">
      <pane xSplit="5" ySplit="9" topLeftCell="F10" activePane="bottomRight" state="frozen"/>
      <selection pane="topRight" activeCell="C1" sqref="C1"/>
      <selection pane="bottomLeft" activeCell="A10" sqref="A10"/>
      <selection pane="bottomRight" activeCell="T21" sqref="T21"/>
    </sheetView>
  </sheetViews>
  <sheetFormatPr defaultColWidth="9.109375" defaultRowHeight="13.2" x14ac:dyDescent="0.3"/>
  <cols>
    <col min="1" max="1" width="4.88671875" style="47" customWidth="1"/>
    <col min="2" max="2" width="5.6640625" style="47" customWidth="1"/>
    <col min="3" max="3" width="14.88671875" style="47" customWidth="1"/>
    <col min="4" max="4" width="16.88671875" style="47" customWidth="1"/>
    <col min="5" max="5" width="35.33203125" style="6" customWidth="1"/>
    <col min="6" max="8" width="6.6640625" style="6" customWidth="1"/>
    <col min="9" max="9" width="6.6640625" style="47" customWidth="1"/>
    <col min="10" max="12" width="6.6640625" style="6" customWidth="1"/>
    <col min="13" max="19" width="6.6640625" style="47" customWidth="1"/>
    <col min="20" max="37" width="6.6640625" style="6" customWidth="1"/>
    <col min="38" max="38" width="6.6640625" style="47" customWidth="1"/>
    <col min="39" max="47" width="6.6640625" style="6" customWidth="1"/>
    <col min="48" max="48" width="7.6640625" style="6" customWidth="1"/>
    <col min="49" max="49" width="6.6640625" style="47" customWidth="1"/>
    <col min="50" max="52" width="6.6640625" style="6" customWidth="1"/>
    <col min="53" max="16384" width="9.109375" style="6"/>
  </cols>
  <sheetData>
    <row r="1" spans="1:52" x14ac:dyDescent="0.3">
      <c r="A1" s="1"/>
      <c r="B1" s="2"/>
      <c r="C1" s="95" t="s">
        <v>212</v>
      </c>
      <c r="D1" s="96"/>
      <c r="E1" s="3"/>
      <c r="F1" s="4" t="s">
        <v>198</v>
      </c>
      <c r="G1" s="5" t="s">
        <v>199</v>
      </c>
      <c r="H1" s="5" t="s">
        <v>200</v>
      </c>
      <c r="I1" s="6" t="s">
        <v>205</v>
      </c>
      <c r="M1" s="6"/>
      <c r="N1" s="7" t="s">
        <v>198</v>
      </c>
      <c r="O1" s="8" t="s">
        <v>199</v>
      </c>
      <c r="P1" s="8" t="s">
        <v>200</v>
      </c>
      <c r="Q1" s="6" t="s">
        <v>205</v>
      </c>
      <c r="R1" s="6"/>
      <c r="S1" s="6"/>
      <c r="AF1" s="9" t="s">
        <v>198</v>
      </c>
      <c r="AG1" s="10" t="s">
        <v>199</v>
      </c>
      <c r="AH1" s="10" t="s">
        <v>200</v>
      </c>
      <c r="AI1" s="6" t="s">
        <v>205</v>
      </c>
      <c r="AL1" s="6"/>
      <c r="AM1" s="4" t="s">
        <v>198</v>
      </c>
      <c r="AN1" s="5" t="s">
        <v>199</v>
      </c>
      <c r="AO1" s="5" t="s">
        <v>200</v>
      </c>
      <c r="AP1" s="6" t="s">
        <v>205</v>
      </c>
      <c r="AW1" s="6"/>
      <c r="AX1" s="11" t="s">
        <v>198</v>
      </c>
      <c r="AY1" s="12" t="s">
        <v>199</v>
      </c>
      <c r="AZ1" s="12" t="s">
        <v>200</v>
      </c>
    </row>
    <row r="2" spans="1:52" s="17" customFormat="1" ht="15" customHeight="1" x14ac:dyDescent="0.3">
      <c r="A2" s="13"/>
      <c r="B2" s="14"/>
      <c r="C2" s="104" t="s">
        <v>213</v>
      </c>
      <c r="D2" s="105"/>
      <c r="E2" s="15" t="s">
        <v>1</v>
      </c>
      <c r="F2" s="58">
        <v>0</v>
      </c>
      <c r="G2" s="53">
        <v>0</v>
      </c>
      <c r="H2" s="53">
        <v>40</v>
      </c>
      <c r="I2" s="16" t="s">
        <v>201</v>
      </c>
      <c r="J2" s="16"/>
      <c r="K2" s="16"/>
      <c r="L2" s="16"/>
      <c r="M2" s="16"/>
      <c r="N2" s="58">
        <v>0</v>
      </c>
      <c r="O2" s="53">
        <v>0</v>
      </c>
      <c r="P2" s="53">
        <v>40</v>
      </c>
      <c r="Q2" s="16" t="s">
        <v>201</v>
      </c>
      <c r="R2" s="16"/>
      <c r="S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58">
        <v>0</v>
      </c>
      <c r="AG2" s="53">
        <v>0</v>
      </c>
      <c r="AH2" s="53">
        <v>40</v>
      </c>
      <c r="AI2" s="16" t="s">
        <v>201</v>
      </c>
      <c r="AJ2" s="16"/>
      <c r="AK2" s="16"/>
      <c r="AL2" s="16"/>
      <c r="AM2" s="58">
        <v>0</v>
      </c>
      <c r="AN2" s="53">
        <v>0</v>
      </c>
      <c r="AO2" s="53">
        <v>40</v>
      </c>
      <c r="AP2" s="16" t="s">
        <v>201</v>
      </c>
      <c r="AQ2" s="16"/>
      <c r="AR2" s="16"/>
      <c r="AS2" s="16"/>
      <c r="AT2" s="16"/>
      <c r="AU2" s="16"/>
      <c r="AV2" s="16"/>
      <c r="AW2" s="16"/>
      <c r="AX2" s="58">
        <v>0</v>
      </c>
      <c r="AY2" s="53">
        <v>0</v>
      </c>
      <c r="AZ2" s="53">
        <v>40</v>
      </c>
    </row>
    <row r="3" spans="1:52" s="17" customFormat="1" ht="15" customHeight="1" x14ac:dyDescent="0.3">
      <c r="A3" s="13"/>
      <c r="B3" s="14"/>
      <c r="C3" s="106" t="s">
        <v>12</v>
      </c>
      <c r="D3" s="107"/>
      <c r="E3" s="60">
        <v>101</v>
      </c>
      <c r="F3" s="56">
        <v>1</v>
      </c>
      <c r="G3" s="53">
        <v>40</v>
      </c>
      <c r="H3" s="53">
        <v>55</v>
      </c>
      <c r="I3" s="16" t="s">
        <v>202</v>
      </c>
      <c r="J3" s="16"/>
      <c r="K3" s="16"/>
      <c r="L3" s="16"/>
      <c r="M3" s="16"/>
      <c r="N3" s="56">
        <v>1</v>
      </c>
      <c r="O3" s="53">
        <v>40</v>
      </c>
      <c r="P3" s="53">
        <v>55</v>
      </c>
      <c r="Q3" s="16" t="s">
        <v>202</v>
      </c>
      <c r="R3" s="16"/>
      <c r="S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56">
        <v>1</v>
      </c>
      <c r="AG3" s="53">
        <v>40</v>
      </c>
      <c r="AH3" s="53">
        <v>55</v>
      </c>
      <c r="AI3" s="16" t="s">
        <v>202</v>
      </c>
      <c r="AJ3" s="16"/>
      <c r="AK3" s="16"/>
      <c r="AL3" s="16"/>
      <c r="AM3" s="56">
        <v>1</v>
      </c>
      <c r="AN3" s="53">
        <v>40</v>
      </c>
      <c r="AO3" s="53">
        <v>55</v>
      </c>
      <c r="AP3" s="16" t="s">
        <v>202</v>
      </c>
      <c r="AQ3" s="16"/>
      <c r="AR3" s="16"/>
      <c r="AS3" s="16"/>
      <c r="AT3" s="16"/>
      <c r="AU3" s="16"/>
      <c r="AV3" s="16"/>
      <c r="AW3" s="16"/>
      <c r="AX3" s="56">
        <v>1</v>
      </c>
      <c r="AY3" s="53">
        <v>40</v>
      </c>
      <c r="AZ3" s="53">
        <v>55</v>
      </c>
    </row>
    <row r="4" spans="1:52" s="17" customFormat="1" ht="15" customHeight="1" x14ac:dyDescent="0.3">
      <c r="A4" s="18"/>
      <c r="B4" s="19"/>
      <c r="C4" s="108" t="s">
        <v>17</v>
      </c>
      <c r="D4" s="109"/>
      <c r="E4" s="15" t="s">
        <v>2</v>
      </c>
      <c r="F4" s="57">
        <v>2</v>
      </c>
      <c r="G4" s="54">
        <v>55</v>
      </c>
      <c r="H4" s="54">
        <v>70</v>
      </c>
      <c r="I4" s="16" t="s">
        <v>204</v>
      </c>
      <c r="J4" s="16"/>
      <c r="K4" s="20"/>
      <c r="L4" s="20"/>
      <c r="M4" s="20"/>
      <c r="N4" s="57">
        <v>2</v>
      </c>
      <c r="O4" s="54">
        <v>55</v>
      </c>
      <c r="P4" s="54">
        <v>70</v>
      </c>
      <c r="Q4" s="16" t="s">
        <v>204</v>
      </c>
      <c r="R4" s="16"/>
      <c r="S4" s="16"/>
      <c r="V4" s="20"/>
      <c r="W4" s="20"/>
      <c r="X4" s="20"/>
      <c r="Y4" s="20"/>
      <c r="Z4" s="20"/>
      <c r="AA4" s="20"/>
      <c r="AB4" s="20"/>
      <c r="AC4" s="20"/>
      <c r="AD4" s="20"/>
      <c r="AE4" s="20"/>
      <c r="AF4" s="57">
        <v>2</v>
      </c>
      <c r="AG4" s="54">
        <v>55</v>
      </c>
      <c r="AH4" s="54">
        <v>70</v>
      </c>
      <c r="AI4" s="16" t="s">
        <v>204</v>
      </c>
      <c r="AJ4" s="20"/>
      <c r="AK4" s="20"/>
      <c r="AL4" s="20"/>
      <c r="AM4" s="57">
        <v>2</v>
      </c>
      <c r="AN4" s="54">
        <v>55</v>
      </c>
      <c r="AO4" s="54">
        <v>70</v>
      </c>
      <c r="AP4" s="16" t="s">
        <v>204</v>
      </c>
      <c r="AQ4" s="20"/>
      <c r="AR4" s="20"/>
      <c r="AS4" s="20"/>
      <c r="AT4" s="20"/>
      <c r="AU4" s="20"/>
      <c r="AV4" s="20"/>
      <c r="AW4" s="20"/>
      <c r="AX4" s="57">
        <v>2</v>
      </c>
      <c r="AY4" s="54">
        <v>55</v>
      </c>
      <c r="AZ4" s="54">
        <v>70</v>
      </c>
    </row>
    <row r="5" spans="1:52" s="17" customFormat="1" ht="15" customHeight="1" x14ac:dyDescent="0.3">
      <c r="A5" s="21"/>
      <c r="B5" s="22"/>
      <c r="C5" s="110" t="s">
        <v>16</v>
      </c>
      <c r="D5" s="111"/>
      <c r="E5" s="59" t="s">
        <v>41</v>
      </c>
      <c r="F5" s="55">
        <v>3</v>
      </c>
      <c r="G5" s="54">
        <v>70</v>
      </c>
      <c r="H5" s="54">
        <v>100</v>
      </c>
      <c r="I5" s="16" t="s">
        <v>203</v>
      </c>
      <c r="J5" s="16"/>
      <c r="K5" s="20"/>
      <c r="L5" s="20"/>
      <c r="M5" s="20"/>
      <c r="N5" s="55">
        <v>3</v>
      </c>
      <c r="O5" s="54">
        <v>70</v>
      </c>
      <c r="P5" s="54">
        <v>100</v>
      </c>
      <c r="Q5" s="16" t="s">
        <v>203</v>
      </c>
      <c r="R5" s="16"/>
      <c r="S5" s="16"/>
      <c r="V5" s="20"/>
      <c r="W5" s="20"/>
      <c r="X5" s="20"/>
      <c r="Y5" s="20"/>
      <c r="Z5" s="20"/>
      <c r="AA5" s="20"/>
      <c r="AB5" s="20"/>
      <c r="AC5" s="20"/>
      <c r="AD5" s="20"/>
      <c r="AE5" s="20"/>
      <c r="AF5" s="55">
        <v>3</v>
      </c>
      <c r="AG5" s="54">
        <v>70</v>
      </c>
      <c r="AH5" s="54">
        <v>100</v>
      </c>
      <c r="AI5" s="16" t="s">
        <v>203</v>
      </c>
      <c r="AJ5" s="20"/>
      <c r="AK5" s="20"/>
      <c r="AL5" s="20"/>
      <c r="AM5" s="55">
        <v>3</v>
      </c>
      <c r="AN5" s="54">
        <v>70</v>
      </c>
      <c r="AO5" s="54">
        <v>100</v>
      </c>
      <c r="AP5" s="16" t="s">
        <v>203</v>
      </c>
      <c r="AQ5" s="20"/>
      <c r="AR5" s="20"/>
      <c r="AS5" s="20"/>
      <c r="AT5" s="20"/>
      <c r="AU5" s="20"/>
      <c r="AV5" s="20"/>
      <c r="AW5" s="20"/>
      <c r="AX5" s="55">
        <v>3</v>
      </c>
      <c r="AY5" s="54">
        <v>70</v>
      </c>
      <c r="AZ5" s="54">
        <v>100</v>
      </c>
    </row>
    <row r="6" spans="1:52" s="17" customFormat="1" ht="15" customHeight="1" x14ac:dyDescent="0.3">
      <c r="A6" s="23"/>
      <c r="B6" s="23"/>
      <c r="C6" s="23"/>
      <c r="D6" s="23"/>
      <c r="E6" s="23"/>
      <c r="F6" s="91" t="s">
        <v>3</v>
      </c>
      <c r="G6" s="91"/>
      <c r="H6" s="91"/>
      <c r="I6" s="91"/>
      <c r="J6" s="91" t="s">
        <v>4</v>
      </c>
      <c r="K6" s="91"/>
      <c r="L6" s="91"/>
      <c r="M6" s="91"/>
      <c r="N6" s="92" t="s">
        <v>45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4"/>
      <c r="AF6" s="98" t="s">
        <v>42</v>
      </c>
      <c r="AG6" s="99"/>
      <c r="AH6" s="99"/>
      <c r="AI6" s="99"/>
      <c r="AJ6" s="99"/>
      <c r="AK6" s="99"/>
      <c r="AL6" s="100"/>
      <c r="AM6" s="101" t="s">
        <v>43</v>
      </c>
      <c r="AN6" s="102"/>
      <c r="AO6" s="102"/>
      <c r="AP6" s="102"/>
      <c r="AQ6" s="102"/>
      <c r="AR6" s="102"/>
      <c r="AS6" s="102"/>
      <c r="AT6" s="102"/>
      <c r="AU6" s="102"/>
      <c r="AV6" s="102"/>
      <c r="AW6" s="103"/>
      <c r="AX6" s="88" t="s">
        <v>44</v>
      </c>
      <c r="AY6" s="89"/>
      <c r="AZ6" s="90"/>
    </row>
    <row r="7" spans="1:52" s="17" customFormat="1" ht="15" customHeight="1" x14ac:dyDescent="0.3">
      <c r="A7" s="23"/>
      <c r="B7" s="23"/>
      <c r="C7" s="23"/>
      <c r="D7" s="23"/>
      <c r="E7" s="23"/>
      <c r="F7" s="24" t="s">
        <v>20</v>
      </c>
      <c r="G7" s="24" t="s">
        <v>21</v>
      </c>
      <c r="H7" s="24" t="s">
        <v>22</v>
      </c>
      <c r="I7" s="24"/>
      <c r="J7" s="24" t="s">
        <v>23</v>
      </c>
      <c r="K7" s="24" t="s">
        <v>24</v>
      </c>
      <c r="L7" s="24" t="s">
        <v>25</v>
      </c>
      <c r="M7" s="24"/>
      <c r="N7" s="92" t="s">
        <v>209</v>
      </c>
      <c r="O7" s="93"/>
      <c r="P7" s="93"/>
      <c r="Q7" s="93"/>
      <c r="R7" s="93"/>
      <c r="S7" s="93"/>
      <c r="T7" s="94"/>
      <c r="U7" s="112" t="s">
        <v>208</v>
      </c>
      <c r="V7" s="112"/>
      <c r="W7" s="112"/>
      <c r="X7" s="112"/>
      <c r="Y7" s="112"/>
      <c r="Z7" s="112" t="s">
        <v>211</v>
      </c>
      <c r="AA7" s="112"/>
      <c r="AB7" s="112"/>
      <c r="AC7" s="112"/>
      <c r="AD7" s="112"/>
      <c r="AE7" s="112"/>
      <c r="AF7" s="26" t="s">
        <v>20</v>
      </c>
      <c r="AG7" s="26" t="s">
        <v>21</v>
      </c>
      <c r="AH7" s="26" t="s">
        <v>22</v>
      </c>
      <c r="AI7" s="26" t="s">
        <v>23</v>
      </c>
      <c r="AJ7" s="26" t="s">
        <v>24</v>
      </c>
      <c r="AK7" s="26" t="s">
        <v>25</v>
      </c>
      <c r="AL7" s="26"/>
      <c r="AM7" s="101" t="s">
        <v>19</v>
      </c>
      <c r="AN7" s="102"/>
      <c r="AO7" s="102"/>
      <c r="AP7" s="102"/>
      <c r="AQ7" s="102"/>
      <c r="AR7" s="102"/>
      <c r="AS7" s="102"/>
      <c r="AT7" s="102"/>
      <c r="AU7" s="102"/>
      <c r="AV7" s="102"/>
      <c r="AW7" s="103"/>
      <c r="AX7" s="27" t="s">
        <v>19</v>
      </c>
      <c r="AY7" s="27"/>
      <c r="AZ7" s="27"/>
    </row>
    <row r="8" spans="1:52" s="17" customFormat="1" ht="23.25" customHeight="1" x14ac:dyDescent="0.3">
      <c r="A8" s="23" t="s">
        <v>46</v>
      </c>
      <c r="B8" s="78" t="s">
        <v>0</v>
      </c>
      <c r="C8" s="23" t="s">
        <v>47</v>
      </c>
      <c r="D8" s="23" t="s">
        <v>48</v>
      </c>
      <c r="E8" s="23" t="s">
        <v>5</v>
      </c>
      <c r="F8" s="24" t="s">
        <v>6</v>
      </c>
      <c r="G8" s="24" t="s">
        <v>7</v>
      </c>
      <c r="H8" s="24" t="s">
        <v>8</v>
      </c>
      <c r="I8" s="24" t="s">
        <v>9</v>
      </c>
      <c r="J8" s="24" t="s">
        <v>6</v>
      </c>
      <c r="K8" s="24" t="s">
        <v>7</v>
      </c>
      <c r="L8" s="24" t="s">
        <v>8</v>
      </c>
      <c r="M8" s="24" t="s">
        <v>9</v>
      </c>
      <c r="N8" s="25" t="s">
        <v>49</v>
      </c>
      <c r="O8" s="25" t="s">
        <v>20</v>
      </c>
      <c r="P8" s="25" t="s">
        <v>21</v>
      </c>
      <c r="Q8" s="25" t="s">
        <v>22</v>
      </c>
      <c r="R8" s="25" t="s">
        <v>23</v>
      </c>
      <c r="S8" s="25" t="s">
        <v>24</v>
      </c>
      <c r="T8" s="25" t="s">
        <v>25</v>
      </c>
      <c r="U8" s="87" t="s">
        <v>214</v>
      </c>
      <c r="V8" s="87" t="s">
        <v>215</v>
      </c>
      <c r="W8" s="87" t="s">
        <v>216</v>
      </c>
      <c r="X8" s="87" t="s">
        <v>217</v>
      </c>
      <c r="Y8" s="25" t="s">
        <v>9</v>
      </c>
      <c r="Z8" s="25" t="s">
        <v>20</v>
      </c>
      <c r="AA8" s="25" t="s">
        <v>21</v>
      </c>
      <c r="AB8" s="25" t="s">
        <v>22</v>
      </c>
      <c r="AC8" s="25" t="s">
        <v>23</v>
      </c>
      <c r="AD8" s="25" t="s">
        <v>24</v>
      </c>
      <c r="AE8" s="25" t="s">
        <v>25</v>
      </c>
      <c r="AF8" s="26" t="s">
        <v>6</v>
      </c>
      <c r="AG8" s="26" t="s">
        <v>7</v>
      </c>
      <c r="AH8" s="26" t="s">
        <v>8</v>
      </c>
      <c r="AI8" s="26" t="s">
        <v>26</v>
      </c>
      <c r="AJ8" s="26" t="s">
        <v>27</v>
      </c>
      <c r="AK8" s="26" t="s">
        <v>28</v>
      </c>
      <c r="AL8" s="26" t="s">
        <v>9</v>
      </c>
      <c r="AM8" s="28" t="s">
        <v>29</v>
      </c>
      <c r="AN8" s="28" t="s">
        <v>30</v>
      </c>
      <c r="AO8" s="28" t="s">
        <v>31</v>
      </c>
      <c r="AP8" s="28" t="s">
        <v>32</v>
      </c>
      <c r="AQ8" s="28" t="s">
        <v>33</v>
      </c>
      <c r="AR8" s="28" t="s">
        <v>34</v>
      </c>
      <c r="AS8" s="28" t="s">
        <v>35</v>
      </c>
      <c r="AT8" s="28" t="s">
        <v>36</v>
      </c>
      <c r="AU8" s="28" t="s">
        <v>206</v>
      </c>
      <c r="AV8" s="28" t="s">
        <v>207</v>
      </c>
      <c r="AW8" s="28" t="s">
        <v>37</v>
      </c>
      <c r="AX8" s="29" t="s">
        <v>40</v>
      </c>
      <c r="AY8" s="29"/>
      <c r="AZ8" s="29"/>
    </row>
    <row r="9" spans="1:52" s="35" customFormat="1" ht="15" customHeight="1" x14ac:dyDescent="0.3">
      <c r="A9" s="30"/>
      <c r="B9" s="30"/>
      <c r="C9" s="30"/>
      <c r="D9" s="30"/>
      <c r="E9" s="30" t="s">
        <v>11</v>
      </c>
      <c r="F9" s="31">
        <v>7</v>
      </c>
      <c r="G9" s="31">
        <v>7</v>
      </c>
      <c r="H9" s="31">
        <v>6</v>
      </c>
      <c r="I9" s="32">
        <f>SUM(F9:H9)</f>
        <v>20</v>
      </c>
      <c r="J9" s="32">
        <v>7</v>
      </c>
      <c r="K9" s="32">
        <v>7</v>
      </c>
      <c r="L9" s="32">
        <v>6</v>
      </c>
      <c r="M9" s="32">
        <f>SUM(J9:L9)</f>
        <v>20</v>
      </c>
      <c r="N9" s="33"/>
      <c r="O9" s="33"/>
      <c r="P9" s="33"/>
      <c r="Q9" s="33"/>
      <c r="R9" s="33"/>
      <c r="S9" s="33"/>
      <c r="T9" s="34"/>
      <c r="U9" s="33">
        <v>5</v>
      </c>
      <c r="V9" s="33">
        <v>5</v>
      </c>
      <c r="W9" s="33">
        <v>5</v>
      </c>
      <c r="X9" s="33">
        <v>5</v>
      </c>
      <c r="Y9" s="34">
        <f>SUM(U9:X9)</f>
        <v>20</v>
      </c>
      <c r="Z9" s="34"/>
      <c r="AA9" s="34"/>
      <c r="AB9" s="34"/>
      <c r="AC9" s="34"/>
      <c r="AD9" s="34"/>
      <c r="AE9" s="34"/>
      <c r="AF9" s="34">
        <v>10</v>
      </c>
      <c r="AG9" s="34">
        <v>10</v>
      </c>
      <c r="AH9" s="34">
        <v>10</v>
      </c>
      <c r="AI9" s="34">
        <v>10</v>
      </c>
      <c r="AJ9" s="34">
        <v>10</v>
      </c>
      <c r="AK9" s="34">
        <v>10</v>
      </c>
      <c r="AL9" s="30">
        <f>SUM(AF9:AK9)</f>
        <v>60</v>
      </c>
      <c r="AM9" s="34">
        <v>25</v>
      </c>
      <c r="AN9" s="34">
        <v>25</v>
      </c>
      <c r="AO9" s="34">
        <v>25</v>
      </c>
      <c r="AP9" s="34">
        <v>25</v>
      </c>
      <c r="AQ9" s="34">
        <v>25</v>
      </c>
      <c r="AR9" s="34">
        <v>25</v>
      </c>
      <c r="AS9" s="34">
        <v>25</v>
      </c>
      <c r="AT9" s="34">
        <v>25</v>
      </c>
      <c r="AU9" s="34">
        <v>25</v>
      </c>
      <c r="AV9" s="34">
        <v>25</v>
      </c>
      <c r="AW9" s="30">
        <v>25</v>
      </c>
      <c r="AX9" s="34">
        <v>25</v>
      </c>
      <c r="AY9" s="34"/>
      <c r="AZ9" s="34"/>
    </row>
    <row r="10" spans="1:52" s="17" customFormat="1" ht="18" customHeight="1" x14ac:dyDescent="0.3">
      <c r="A10" s="61">
        <v>1</v>
      </c>
      <c r="B10" s="62">
        <v>1</v>
      </c>
      <c r="C10" s="63" t="s">
        <v>50</v>
      </c>
      <c r="D10" s="63">
        <v>1914361133</v>
      </c>
      <c r="E10" s="64" t="s">
        <v>124</v>
      </c>
      <c r="F10" s="65">
        <v>7</v>
      </c>
      <c r="G10" s="65">
        <v>5</v>
      </c>
      <c r="H10" s="65" t="s">
        <v>10</v>
      </c>
      <c r="I10" s="36" cm="1">
        <f t="array" ref="I10">IF(AND(F10:H10="AB"),"AB",SUM(F10:H10))</f>
        <v>12</v>
      </c>
      <c r="J10" s="65">
        <v>7</v>
      </c>
      <c r="K10" s="65">
        <v>5</v>
      </c>
      <c r="L10" s="65" t="s">
        <v>10</v>
      </c>
      <c r="M10" s="36" cm="1">
        <f t="array" ref="M10">IF(AND(J10:L10="AB"),"AB",SUM(J10:L10))</f>
        <v>12</v>
      </c>
      <c r="N10" s="69" t="s">
        <v>210</v>
      </c>
      <c r="O10" s="70">
        <v>3</v>
      </c>
      <c r="P10" s="71">
        <v>2</v>
      </c>
      <c r="Q10" s="72"/>
      <c r="R10" s="72">
        <v>1</v>
      </c>
      <c r="S10" s="63">
        <v>1</v>
      </c>
      <c r="T10" s="70">
        <v>1</v>
      </c>
      <c r="U10" s="71">
        <v>4</v>
      </c>
      <c r="V10" s="72">
        <v>5</v>
      </c>
      <c r="W10" s="72">
        <v>4</v>
      </c>
      <c r="X10" s="72">
        <v>4</v>
      </c>
      <c r="Y10" s="38" cm="1">
        <f t="array" ref="Y10">IF(AND(U10:X10="AB"),"AB",SUM(U10:X10))</f>
        <v>17</v>
      </c>
      <c r="Z10" s="39">
        <f>IF(O10="","",Y10)</f>
        <v>17</v>
      </c>
      <c r="AA10" s="39">
        <f>IF(P10="","",Y10)</f>
        <v>17</v>
      </c>
      <c r="AB10" s="39" t="str">
        <f>IF(Q10="","",Y10)</f>
        <v/>
      </c>
      <c r="AC10" s="39">
        <f>IF(R10="","",Y10)</f>
        <v>17</v>
      </c>
      <c r="AD10" s="39">
        <f>IF(S10="","",Y10)</f>
        <v>17</v>
      </c>
      <c r="AE10" s="39">
        <f>IF(T10="","",Y10)</f>
        <v>17</v>
      </c>
      <c r="AF10" s="70">
        <v>2</v>
      </c>
      <c r="AG10" s="70">
        <v>2</v>
      </c>
      <c r="AH10" s="70">
        <v>2.5</v>
      </c>
      <c r="AI10" s="71">
        <v>7.5</v>
      </c>
      <c r="AJ10" s="72">
        <v>3</v>
      </c>
      <c r="AK10" s="72">
        <v>2.5</v>
      </c>
      <c r="AL10" s="50" cm="1">
        <f t="array" ref="AL10">IF(AND(AF10:AK10="AB"),"AB",SUM(AF10:AK10))</f>
        <v>19.5</v>
      </c>
      <c r="AM10" s="70">
        <v>24</v>
      </c>
      <c r="AN10" s="70">
        <v>24</v>
      </c>
      <c r="AO10" s="70">
        <v>24</v>
      </c>
      <c r="AP10" s="71">
        <v>12</v>
      </c>
      <c r="AQ10" s="72">
        <v>10</v>
      </c>
      <c r="AR10" s="72">
        <v>18</v>
      </c>
      <c r="AS10" s="72">
        <v>20</v>
      </c>
      <c r="AT10" s="72">
        <v>18</v>
      </c>
      <c r="AU10" s="73">
        <v>18</v>
      </c>
      <c r="AV10" s="73">
        <v>18</v>
      </c>
      <c r="AW10" s="40" cm="1">
        <f t="array" ref="AW10">IF(AND(AM10:AV10="AB"),"AB",AVERAGE(AM10:AV10))</f>
        <v>18.600000000000001</v>
      </c>
      <c r="AX10" s="70">
        <v>16</v>
      </c>
      <c r="AY10" s="37"/>
      <c r="AZ10" s="37"/>
    </row>
    <row r="11" spans="1:52" s="17" customFormat="1" ht="18" customHeight="1" x14ac:dyDescent="0.3">
      <c r="A11" s="61">
        <v>2</v>
      </c>
      <c r="B11" s="62">
        <v>2</v>
      </c>
      <c r="C11" s="63" t="s">
        <v>51</v>
      </c>
      <c r="D11" s="63">
        <v>1914361134</v>
      </c>
      <c r="E11" s="64" t="s">
        <v>125</v>
      </c>
      <c r="F11" s="65">
        <v>6</v>
      </c>
      <c r="G11" s="65">
        <v>5</v>
      </c>
      <c r="H11" s="65">
        <v>7</v>
      </c>
      <c r="I11" s="36" cm="1">
        <f t="array" ref="I11">IF(AND(F11:H11="AB"),"AB",SUM(F11:H11))</f>
        <v>18</v>
      </c>
      <c r="J11" s="65">
        <v>6</v>
      </c>
      <c r="K11" s="65">
        <v>5</v>
      </c>
      <c r="L11" s="65">
        <v>7</v>
      </c>
      <c r="M11" s="36" cm="1">
        <f t="array" ref="M11">IF(AND(J11:L11="AB"),"AB",SUM(J11:L11))</f>
        <v>18</v>
      </c>
      <c r="N11" s="69"/>
      <c r="O11" s="70">
        <v>3</v>
      </c>
      <c r="P11" s="71">
        <v>2</v>
      </c>
      <c r="Q11" s="72">
        <v>1</v>
      </c>
      <c r="R11" s="72"/>
      <c r="S11" s="63">
        <v>1</v>
      </c>
      <c r="T11" s="70">
        <v>1</v>
      </c>
      <c r="U11" s="71">
        <v>2</v>
      </c>
      <c r="V11" s="72">
        <v>2</v>
      </c>
      <c r="W11" s="72">
        <v>3</v>
      </c>
      <c r="X11" s="73">
        <v>5</v>
      </c>
      <c r="Y11" s="38" cm="1">
        <f t="array" ref="Y11">IF(AND(U11:X11="AB"),"AB",SUM(U11:X11))</f>
        <v>12</v>
      </c>
      <c r="Z11" s="39">
        <f t="shared" ref="Z11:Z74" si="0">IF(O11="","",Y11)</f>
        <v>12</v>
      </c>
      <c r="AA11" s="39">
        <f t="shared" ref="AA11:AA74" si="1">IF(P11="","",Y11)</f>
        <v>12</v>
      </c>
      <c r="AB11" s="39">
        <f t="shared" ref="AB11:AB74" si="2">IF(Q11="","",Y11)</f>
        <v>12</v>
      </c>
      <c r="AC11" s="39" t="str">
        <f t="shared" ref="AC11:AC74" si="3">IF(R11="","",Y11)</f>
        <v/>
      </c>
      <c r="AD11" s="39">
        <f t="shared" ref="AD11:AD74" si="4">IF(S11="","",Y11)</f>
        <v>12</v>
      </c>
      <c r="AE11" s="39">
        <f t="shared" ref="AE11:AE74" si="5">IF(T11="","",Y11)</f>
        <v>12</v>
      </c>
      <c r="AF11" s="70">
        <v>0</v>
      </c>
      <c r="AG11" s="70">
        <v>9</v>
      </c>
      <c r="AH11" s="70">
        <v>4</v>
      </c>
      <c r="AI11" s="74">
        <v>8</v>
      </c>
      <c r="AJ11" s="73">
        <v>7</v>
      </c>
      <c r="AK11" s="73">
        <v>10</v>
      </c>
      <c r="AL11" s="50" cm="1">
        <f t="array" ref="AL11">IF(AND(AF11:AK11="AB"),"AB",SUM(AF11:AK11))</f>
        <v>38</v>
      </c>
      <c r="AM11" s="70">
        <v>16</v>
      </c>
      <c r="AN11" s="70">
        <v>14</v>
      </c>
      <c r="AO11" s="70">
        <v>13</v>
      </c>
      <c r="AP11" s="74">
        <v>16</v>
      </c>
      <c r="AQ11" s="73">
        <v>14</v>
      </c>
      <c r="AR11" s="73">
        <v>13</v>
      </c>
      <c r="AS11" s="73">
        <v>17</v>
      </c>
      <c r="AT11" s="73">
        <v>19</v>
      </c>
      <c r="AU11" s="73">
        <v>19</v>
      </c>
      <c r="AV11" s="73">
        <v>19</v>
      </c>
      <c r="AW11" s="40" cm="1">
        <f t="array" ref="AW11">IF(AND(AM11:AV11="AB"),"AB",AVERAGE(AM11:AV11))</f>
        <v>16</v>
      </c>
      <c r="AX11" s="70">
        <v>16</v>
      </c>
      <c r="AY11" s="37"/>
      <c r="AZ11" s="37"/>
    </row>
    <row r="12" spans="1:52" s="17" customFormat="1" ht="18" customHeight="1" x14ac:dyDescent="0.3">
      <c r="A12" s="61">
        <v>3</v>
      </c>
      <c r="B12" s="62">
        <v>3</v>
      </c>
      <c r="C12" s="63" t="s">
        <v>52</v>
      </c>
      <c r="D12" s="63">
        <v>1914361135</v>
      </c>
      <c r="E12" s="64" t="s">
        <v>126</v>
      </c>
      <c r="F12" s="65">
        <v>5</v>
      </c>
      <c r="G12" s="65">
        <v>6</v>
      </c>
      <c r="H12" s="65">
        <v>7</v>
      </c>
      <c r="I12" s="36" cm="1">
        <f t="array" ref="I12">IF(AND(F12:H12="AB"),"AB",SUM(F12:H12))</f>
        <v>18</v>
      </c>
      <c r="J12" s="65">
        <v>5</v>
      </c>
      <c r="K12" s="65">
        <v>6</v>
      </c>
      <c r="L12" s="65">
        <v>7</v>
      </c>
      <c r="M12" s="36" cm="1">
        <f t="array" ref="M12">IF(AND(J12:L12="AB"),"AB",SUM(J12:L12))</f>
        <v>18</v>
      </c>
      <c r="N12" s="69"/>
      <c r="O12" s="70">
        <v>3</v>
      </c>
      <c r="P12" s="71">
        <v>2</v>
      </c>
      <c r="Q12" s="72">
        <v>1</v>
      </c>
      <c r="R12" s="72">
        <v>1</v>
      </c>
      <c r="S12" s="63"/>
      <c r="T12" s="70">
        <v>1</v>
      </c>
      <c r="U12" s="71" t="s">
        <v>10</v>
      </c>
      <c r="V12" s="71" t="s">
        <v>10</v>
      </c>
      <c r="W12" s="71" t="s">
        <v>10</v>
      </c>
      <c r="X12" s="71" t="s">
        <v>10</v>
      </c>
      <c r="Y12" s="38" t="str" cm="1">
        <f t="array" ref="Y12">IF(AND(U12:X12="AB"),"AB",SUM(U12:X12))</f>
        <v>AB</v>
      </c>
      <c r="Z12" s="39" t="str">
        <f t="shared" si="0"/>
        <v>AB</v>
      </c>
      <c r="AA12" s="39" t="str">
        <f t="shared" si="1"/>
        <v>AB</v>
      </c>
      <c r="AB12" s="39" t="str">
        <f t="shared" si="2"/>
        <v>AB</v>
      </c>
      <c r="AC12" s="39" t="str">
        <f t="shared" si="3"/>
        <v>AB</v>
      </c>
      <c r="AD12" s="39" t="str">
        <f t="shared" si="4"/>
        <v/>
      </c>
      <c r="AE12" s="39" t="str">
        <f t="shared" si="5"/>
        <v>AB</v>
      </c>
      <c r="AF12" s="70">
        <v>8</v>
      </c>
      <c r="AG12" s="70">
        <v>8</v>
      </c>
      <c r="AH12" s="70">
        <v>0</v>
      </c>
      <c r="AI12" s="74">
        <v>2</v>
      </c>
      <c r="AJ12" s="73">
        <v>4</v>
      </c>
      <c r="AK12" s="73">
        <v>5</v>
      </c>
      <c r="AL12" s="50" cm="1">
        <f t="array" ref="AL12">IF(AND(AF12:AK12="AB"),"AB",SUM(AF12:AK12))</f>
        <v>27</v>
      </c>
      <c r="AM12" s="70">
        <v>23</v>
      </c>
      <c r="AN12" s="70">
        <v>21</v>
      </c>
      <c r="AO12" s="70">
        <v>20</v>
      </c>
      <c r="AP12" s="74">
        <v>23</v>
      </c>
      <c r="AQ12" s="73">
        <v>21</v>
      </c>
      <c r="AR12" s="73">
        <v>20</v>
      </c>
      <c r="AS12" s="73">
        <v>17</v>
      </c>
      <c r="AT12" s="73">
        <v>18</v>
      </c>
      <c r="AU12" s="73">
        <v>18</v>
      </c>
      <c r="AV12" s="73">
        <v>18</v>
      </c>
      <c r="AW12" s="40" cm="1">
        <f t="array" ref="AW12">IF(AND(AM12:AV12="AB"),"AB",AVERAGE(AM12:AV12))</f>
        <v>19.899999999999999</v>
      </c>
      <c r="AX12" s="70">
        <v>23</v>
      </c>
      <c r="AY12" s="37"/>
      <c r="AZ12" s="37"/>
    </row>
    <row r="13" spans="1:52" s="17" customFormat="1" ht="18" customHeight="1" x14ac:dyDescent="0.3">
      <c r="A13" s="61">
        <v>4</v>
      </c>
      <c r="B13" s="62">
        <v>4</v>
      </c>
      <c r="C13" s="63" t="s">
        <v>53</v>
      </c>
      <c r="D13" s="63">
        <v>1914361136</v>
      </c>
      <c r="E13" s="64" t="s">
        <v>127</v>
      </c>
      <c r="F13" s="65">
        <v>4</v>
      </c>
      <c r="G13" s="65">
        <v>6</v>
      </c>
      <c r="H13" s="65">
        <v>7</v>
      </c>
      <c r="I13" s="36" cm="1">
        <f t="array" ref="I13">IF(AND(F13:H13="AB"),"AB",SUM(F13:H13))</f>
        <v>17</v>
      </c>
      <c r="J13" s="65">
        <v>4</v>
      </c>
      <c r="K13" s="65">
        <v>6</v>
      </c>
      <c r="L13" s="65">
        <v>7</v>
      </c>
      <c r="M13" s="36" cm="1">
        <f t="array" ref="M13">IF(AND(J13:L13="AB"),"AB",SUM(J13:L13))</f>
        <v>17</v>
      </c>
      <c r="N13" s="69"/>
      <c r="O13" s="70"/>
      <c r="P13" s="71"/>
      <c r="Q13" s="72"/>
      <c r="R13" s="72"/>
      <c r="S13" s="63"/>
      <c r="T13" s="70"/>
      <c r="U13" s="71"/>
      <c r="V13" s="72"/>
      <c r="W13" s="72"/>
      <c r="X13" s="73"/>
      <c r="Y13" s="38" cm="1">
        <f t="array" ref="Y13">IF(AND(U13:X13="AB"),"AB",SUM(U13:X13))</f>
        <v>0</v>
      </c>
      <c r="Z13" s="39" t="str">
        <f t="shared" si="0"/>
        <v/>
      </c>
      <c r="AA13" s="39" t="str">
        <f t="shared" si="1"/>
        <v/>
      </c>
      <c r="AB13" s="39" t="str">
        <f t="shared" si="2"/>
        <v/>
      </c>
      <c r="AC13" s="39" t="str">
        <f t="shared" si="3"/>
        <v/>
      </c>
      <c r="AD13" s="39" t="str">
        <f t="shared" si="4"/>
        <v/>
      </c>
      <c r="AE13" s="39" t="str">
        <f t="shared" si="5"/>
        <v/>
      </c>
      <c r="AF13" s="70">
        <v>6</v>
      </c>
      <c r="AG13" s="70">
        <v>8</v>
      </c>
      <c r="AH13" s="70">
        <v>6</v>
      </c>
      <c r="AI13" s="74">
        <v>7</v>
      </c>
      <c r="AJ13" s="73">
        <v>0</v>
      </c>
      <c r="AK13" s="73">
        <v>6</v>
      </c>
      <c r="AL13" s="50" cm="1">
        <f t="array" ref="AL13">IF(AND(AF13:AK13="AB"),"AB",SUM(AF13:AK13))</f>
        <v>33</v>
      </c>
      <c r="AM13" s="70">
        <v>22</v>
      </c>
      <c r="AN13" s="70">
        <v>18</v>
      </c>
      <c r="AO13" s="70">
        <v>24</v>
      </c>
      <c r="AP13" s="74">
        <v>22</v>
      </c>
      <c r="AQ13" s="73">
        <v>18</v>
      </c>
      <c r="AR13" s="73">
        <v>24</v>
      </c>
      <c r="AS13" s="73">
        <v>13</v>
      </c>
      <c r="AT13" s="73">
        <v>14</v>
      </c>
      <c r="AU13" s="73">
        <v>14</v>
      </c>
      <c r="AV13" s="73">
        <v>14</v>
      </c>
      <c r="AW13" s="40" cm="1">
        <f t="array" ref="AW13">IF(AND(AM13:AV13="AB"),"AB",AVERAGE(AM13:AV13))</f>
        <v>18.3</v>
      </c>
      <c r="AX13" s="70">
        <v>22</v>
      </c>
      <c r="AY13" s="37"/>
      <c r="AZ13" s="37"/>
    </row>
    <row r="14" spans="1:52" s="17" customFormat="1" ht="18" customHeight="1" x14ac:dyDescent="0.3">
      <c r="A14" s="61">
        <v>5</v>
      </c>
      <c r="B14" s="62">
        <v>5</v>
      </c>
      <c r="C14" s="63" t="s">
        <v>54</v>
      </c>
      <c r="D14" s="63">
        <v>1914361137</v>
      </c>
      <c r="E14" s="66" t="s">
        <v>128</v>
      </c>
      <c r="F14" s="65">
        <v>3</v>
      </c>
      <c r="G14" s="65">
        <v>6</v>
      </c>
      <c r="H14" s="65">
        <v>7</v>
      </c>
      <c r="I14" s="36" cm="1">
        <f t="array" ref="I14">IF(AND(F14:H14="AB"),"AB",SUM(F14:H14))</f>
        <v>16</v>
      </c>
      <c r="J14" s="65">
        <v>3</v>
      </c>
      <c r="K14" s="65">
        <v>6</v>
      </c>
      <c r="L14" s="65">
        <v>7</v>
      </c>
      <c r="M14" s="36" cm="1">
        <f t="array" ref="M14">IF(AND(J14:L14="AB"),"AB",SUM(J14:L14))</f>
        <v>16</v>
      </c>
      <c r="N14" s="69"/>
      <c r="O14" s="70"/>
      <c r="P14" s="71"/>
      <c r="Q14" s="72"/>
      <c r="R14" s="72"/>
      <c r="S14" s="63"/>
      <c r="T14" s="70"/>
      <c r="U14" s="71"/>
      <c r="V14" s="72"/>
      <c r="W14" s="72"/>
      <c r="X14" s="73"/>
      <c r="Y14" s="38" cm="1">
        <f t="array" ref="Y14">IF(AND(U14:X14="AB"),"AB",SUM(U14:X14))</f>
        <v>0</v>
      </c>
      <c r="Z14" s="39" t="str">
        <f t="shared" si="0"/>
        <v/>
      </c>
      <c r="AA14" s="39" t="str">
        <f t="shared" si="1"/>
        <v/>
      </c>
      <c r="AB14" s="39" t="str">
        <f t="shared" si="2"/>
        <v/>
      </c>
      <c r="AC14" s="39" t="str">
        <f t="shared" si="3"/>
        <v/>
      </c>
      <c r="AD14" s="39" t="str">
        <f t="shared" si="4"/>
        <v/>
      </c>
      <c r="AE14" s="39" t="str">
        <f t="shared" si="5"/>
        <v/>
      </c>
      <c r="AF14" s="70">
        <v>7</v>
      </c>
      <c r="AG14" s="70">
        <v>10</v>
      </c>
      <c r="AH14" s="70">
        <v>5</v>
      </c>
      <c r="AI14" s="74">
        <v>8.5</v>
      </c>
      <c r="AJ14" s="73">
        <v>8</v>
      </c>
      <c r="AK14" s="73">
        <v>5</v>
      </c>
      <c r="AL14" s="50" cm="1">
        <f t="array" ref="AL14">IF(AND(AF14:AK14="AB"),"AB",SUM(AF14:AK14))</f>
        <v>43.5</v>
      </c>
      <c r="AM14" s="70">
        <v>17</v>
      </c>
      <c r="AN14" s="70">
        <v>19</v>
      </c>
      <c r="AO14" s="70">
        <v>23</v>
      </c>
      <c r="AP14" s="74">
        <v>17</v>
      </c>
      <c r="AQ14" s="73">
        <v>19</v>
      </c>
      <c r="AR14" s="73">
        <v>23</v>
      </c>
      <c r="AS14" s="73">
        <v>20</v>
      </c>
      <c r="AT14" s="73">
        <v>20</v>
      </c>
      <c r="AU14" s="73">
        <v>20</v>
      </c>
      <c r="AV14" s="73">
        <v>20</v>
      </c>
      <c r="AW14" s="40" cm="1">
        <f t="array" ref="AW14">IF(AND(AM14:AV14="AB"),"AB",AVERAGE(AM14:AV14))</f>
        <v>19.8</v>
      </c>
      <c r="AX14" s="70">
        <v>17</v>
      </c>
      <c r="AY14" s="37"/>
      <c r="AZ14" s="37"/>
    </row>
    <row r="15" spans="1:52" s="17" customFormat="1" ht="18" customHeight="1" x14ac:dyDescent="0.3">
      <c r="A15" s="61">
        <v>6</v>
      </c>
      <c r="B15" s="62">
        <v>6</v>
      </c>
      <c r="C15" s="63" t="s">
        <v>55</v>
      </c>
      <c r="D15" s="63">
        <v>1914361138</v>
      </c>
      <c r="E15" s="66" t="s">
        <v>129</v>
      </c>
      <c r="F15" s="65">
        <v>2</v>
      </c>
      <c r="G15" s="65">
        <v>6</v>
      </c>
      <c r="H15" s="65">
        <v>7</v>
      </c>
      <c r="I15" s="36" cm="1">
        <f t="array" ref="I15">IF(AND(F15:H15="AB"),"AB",SUM(F15:H15))</f>
        <v>15</v>
      </c>
      <c r="J15" s="65">
        <v>2</v>
      </c>
      <c r="K15" s="65">
        <v>6</v>
      </c>
      <c r="L15" s="65">
        <v>7</v>
      </c>
      <c r="M15" s="36" cm="1">
        <f t="array" ref="M15">IF(AND(J15:L15="AB"),"AB",SUM(J15:L15))</f>
        <v>15</v>
      </c>
      <c r="N15" s="69"/>
      <c r="O15" s="70"/>
      <c r="P15" s="71"/>
      <c r="Q15" s="72"/>
      <c r="R15" s="72"/>
      <c r="S15" s="63"/>
      <c r="T15" s="70"/>
      <c r="U15" s="71"/>
      <c r="V15" s="72"/>
      <c r="W15" s="72"/>
      <c r="X15" s="72"/>
      <c r="Y15" s="38" cm="1">
        <f t="array" ref="Y15">IF(AND(U15:X15="AB"),"AB",SUM(U15:X15))</f>
        <v>0</v>
      </c>
      <c r="Z15" s="39" t="str">
        <f t="shared" si="0"/>
        <v/>
      </c>
      <c r="AA15" s="39" t="str">
        <f t="shared" si="1"/>
        <v/>
      </c>
      <c r="AB15" s="39" t="str">
        <f t="shared" si="2"/>
        <v/>
      </c>
      <c r="AC15" s="39" t="str">
        <f t="shared" si="3"/>
        <v/>
      </c>
      <c r="AD15" s="39" t="str">
        <f t="shared" si="4"/>
        <v/>
      </c>
      <c r="AE15" s="39" t="str">
        <f t="shared" si="5"/>
        <v/>
      </c>
      <c r="AF15" s="70">
        <v>1</v>
      </c>
      <c r="AG15" s="70">
        <v>0.5</v>
      </c>
      <c r="AH15" s="70">
        <v>5</v>
      </c>
      <c r="AI15" s="74">
        <v>2</v>
      </c>
      <c r="AJ15" s="73">
        <v>8</v>
      </c>
      <c r="AK15" s="73">
        <v>7.5</v>
      </c>
      <c r="AL15" s="50" cm="1">
        <f t="array" ref="AL15">IF(AND(AF15:AK15="AB"),"AB",SUM(AF15:AK15))</f>
        <v>24</v>
      </c>
      <c r="AM15" s="70">
        <v>19</v>
      </c>
      <c r="AN15" s="70">
        <v>18</v>
      </c>
      <c r="AO15" s="70">
        <v>22</v>
      </c>
      <c r="AP15" s="74">
        <v>19</v>
      </c>
      <c r="AQ15" s="73">
        <v>18</v>
      </c>
      <c r="AR15" s="73">
        <v>22</v>
      </c>
      <c r="AS15" s="73">
        <v>24</v>
      </c>
      <c r="AT15" s="73">
        <v>21</v>
      </c>
      <c r="AU15" s="73">
        <v>21</v>
      </c>
      <c r="AV15" s="73">
        <v>21</v>
      </c>
      <c r="AW15" s="40" cm="1">
        <f t="array" ref="AW15">IF(AND(AM15:AV15="AB"),"AB",AVERAGE(AM15:AV15))</f>
        <v>20.5</v>
      </c>
      <c r="AX15" s="70">
        <v>19</v>
      </c>
      <c r="AY15" s="37"/>
      <c r="AZ15" s="37"/>
    </row>
    <row r="16" spans="1:52" s="17" customFormat="1" ht="18" customHeight="1" x14ac:dyDescent="0.3">
      <c r="A16" s="61">
        <v>7</v>
      </c>
      <c r="B16" s="62">
        <v>7</v>
      </c>
      <c r="C16" s="63" t="s">
        <v>56</v>
      </c>
      <c r="D16" s="63">
        <v>1914361139</v>
      </c>
      <c r="E16" s="66" t="s">
        <v>130</v>
      </c>
      <c r="F16" s="65">
        <v>1</v>
      </c>
      <c r="G16" s="65">
        <v>6</v>
      </c>
      <c r="H16" s="65">
        <v>7</v>
      </c>
      <c r="I16" s="36" cm="1">
        <f t="array" ref="I16">IF(AND(F16:H16="AB"),"AB",SUM(F16:H16))</f>
        <v>14</v>
      </c>
      <c r="J16" s="65">
        <v>1</v>
      </c>
      <c r="K16" s="65">
        <v>6</v>
      </c>
      <c r="L16" s="65">
        <v>7</v>
      </c>
      <c r="M16" s="36" cm="1">
        <f t="array" ref="M16">IF(AND(J16:L16="AB"),"AB",SUM(J16:L16))</f>
        <v>14</v>
      </c>
      <c r="N16" s="69"/>
      <c r="O16" s="70"/>
      <c r="P16" s="71"/>
      <c r="Q16" s="72"/>
      <c r="R16" s="72"/>
      <c r="S16" s="63"/>
      <c r="T16" s="70"/>
      <c r="U16" s="71"/>
      <c r="V16" s="72"/>
      <c r="W16" s="72"/>
      <c r="X16" s="73"/>
      <c r="Y16" s="38" cm="1">
        <f t="array" ref="Y16">IF(AND(U16:X16="AB"),"AB",SUM(U16:X16))</f>
        <v>0</v>
      </c>
      <c r="Z16" s="39" t="str">
        <f t="shared" si="0"/>
        <v/>
      </c>
      <c r="AA16" s="39" t="str">
        <f t="shared" si="1"/>
        <v/>
      </c>
      <c r="AB16" s="39" t="str">
        <f t="shared" si="2"/>
        <v/>
      </c>
      <c r="AC16" s="39" t="str">
        <f t="shared" si="3"/>
        <v/>
      </c>
      <c r="AD16" s="39" t="str">
        <f t="shared" si="4"/>
        <v/>
      </c>
      <c r="AE16" s="39" t="str">
        <f t="shared" si="5"/>
        <v/>
      </c>
      <c r="AF16" s="70">
        <v>0</v>
      </c>
      <c r="AG16" s="70">
        <v>3.5</v>
      </c>
      <c r="AH16" s="70">
        <v>3.5</v>
      </c>
      <c r="AI16" s="74">
        <v>2</v>
      </c>
      <c r="AJ16" s="73">
        <v>8</v>
      </c>
      <c r="AK16" s="73">
        <v>2.5</v>
      </c>
      <c r="AL16" s="50" cm="1">
        <f t="array" ref="AL16">IF(AND(AF16:AK16="AB"),"AB",SUM(AF16:AK16))</f>
        <v>19.5</v>
      </c>
      <c r="AM16" s="70">
        <v>24</v>
      </c>
      <c r="AN16" s="70">
        <v>20</v>
      </c>
      <c r="AO16" s="70">
        <v>18</v>
      </c>
      <c r="AP16" s="74">
        <v>24</v>
      </c>
      <c r="AQ16" s="73">
        <v>20</v>
      </c>
      <c r="AR16" s="73">
        <v>18</v>
      </c>
      <c r="AS16" s="73">
        <v>23</v>
      </c>
      <c r="AT16" s="73">
        <v>20</v>
      </c>
      <c r="AU16" s="73">
        <v>20</v>
      </c>
      <c r="AV16" s="73">
        <v>20</v>
      </c>
      <c r="AW16" s="40" cm="1">
        <f t="array" ref="AW16">IF(AND(AM16:AV16="AB"),"AB",AVERAGE(AM16:AV16))</f>
        <v>20.7</v>
      </c>
      <c r="AX16" s="70">
        <v>24</v>
      </c>
      <c r="AY16" s="37"/>
      <c r="AZ16" s="37"/>
    </row>
    <row r="17" spans="1:52" s="17" customFormat="1" ht="18" customHeight="1" x14ac:dyDescent="0.3">
      <c r="A17" s="61">
        <v>8</v>
      </c>
      <c r="B17" s="62">
        <v>8</v>
      </c>
      <c r="C17" s="63" t="s">
        <v>57</v>
      </c>
      <c r="D17" s="63">
        <v>1914361140</v>
      </c>
      <c r="E17" s="66" t="s">
        <v>131</v>
      </c>
      <c r="F17" s="65">
        <v>0</v>
      </c>
      <c r="G17" s="65">
        <v>6</v>
      </c>
      <c r="H17" s="65">
        <v>7</v>
      </c>
      <c r="I17" s="36" cm="1">
        <f t="array" ref="I17">IF(AND(F17:H17="AB"),"AB",SUM(F17:H17))</f>
        <v>13</v>
      </c>
      <c r="J17" s="65">
        <v>0</v>
      </c>
      <c r="K17" s="65">
        <v>6</v>
      </c>
      <c r="L17" s="65">
        <v>7</v>
      </c>
      <c r="M17" s="36" cm="1">
        <f t="array" ref="M17">IF(AND(J17:L17="AB"),"AB",SUM(J17:L17))</f>
        <v>13</v>
      </c>
      <c r="N17" s="69"/>
      <c r="O17" s="70"/>
      <c r="P17" s="74"/>
      <c r="Q17" s="73"/>
      <c r="R17" s="73"/>
      <c r="S17" s="63"/>
      <c r="T17" s="70"/>
      <c r="U17" s="74"/>
      <c r="V17" s="73"/>
      <c r="W17" s="73"/>
      <c r="X17" s="73"/>
      <c r="Y17" s="38" cm="1">
        <f t="array" ref="Y17">IF(AND(U17:X17="AB"),"AB",SUM(U17:X17))</f>
        <v>0</v>
      </c>
      <c r="Z17" s="39" t="str">
        <f t="shared" si="0"/>
        <v/>
      </c>
      <c r="AA17" s="39" t="str">
        <f t="shared" si="1"/>
        <v/>
      </c>
      <c r="AB17" s="39" t="str">
        <f t="shared" si="2"/>
        <v/>
      </c>
      <c r="AC17" s="39" t="str">
        <f t="shared" si="3"/>
        <v/>
      </c>
      <c r="AD17" s="39" t="str">
        <f t="shared" si="4"/>
        <v/>
      </c>
      <c r="AE17" s="39" t="str">
        <f t="shared" si="5"/>
        <v/>
      </c>
      <c r="AF17" s="70">
        <v>9.5</v>
      </c>
      <c r="AG17" s="70">
        <v>10</v>
      </c>
      <c r="AH17" s="70">
        <v>10</v>
      </c>
      <c r="AI17" s="74">
        <v>8.5</v>
      </c>
      <c r="AJ17" s="73">
        <v>9.5</v>
      </c>
      <c r="AK17" s="73">
        <v>5</v>
      </c>
      <c r="AL17" s="50" cm="1">
        <f t="array" ref="AL17">IF(AND(AF17:AK17="AB"),"AB",SUM(AF17:AK17))</f>
        <v>52.5</v>
      </c>
      <c r="AM17" s="70">
        <v>22</v>
      </c>
      <c r="AN17" s="70">
        <v>20</v>
      </c>
      <c r="AO17" s="70">
        <v>17</v>
      </c>
      <c r="AP17" s="74">
        <v>22</v>
      </c>
      <c r="AQ17" s="73">
        <v>20</v>
      </c>
      <c r="AR17" s="73">
        <v>17</v>
      </c>
      <c r="AS17" s="73">
        <v>22</v>
      </c>
      <c r="AT17" s="73">
        <v>20</v>
      </c>
      <c r="AU17" s="73">
        <v>20</v>
      </c>
      <c r="AV17" s="73">
        <v>20</v>
      </c>
      <c r="AW17" s="40" cm="1">
        <f t="array" ref="AW17">IF(AND(AM17:AV17="AB"),"AB",AVERAGE(AM17:AV17))</f>
        <v>20</v>
      </c>
      <c r="AX17" s="70">
        <v>22</v>
      </c>
      <c r="AY17" s="37"/>
      <c r="AZ17" s="37"/>
    </row>
    <row r="18" spans="1:52" s="17" customFormat="1" ht="18" customHeight="1" x14ac:dyDescent="0.3">
      <c r="A18" s="61">
        <v>9</v>
      </c>
      <c r="B18" s="62">
        <v>9</v>
      </c>
      <c r="C18" s="63" t="s">
        <v>58</v>
      </c>
      <c r="D18" s="63">
        <v>1914361141</v>
      </c>
      <c r="E18" s="66" t="s">
        <v>132</v>
      </c>
      <c r="F18" s="65" t="s">
        <v>10</v>
      </c>
      <c r="G18" s="65">
        <v>6</v>
      </c>
      <c r="H18" s="65">
        <v>7</v>
      </c>
      <c r="I18" s="36" cm="1">
        <f t="array" ref="I18">IF(AND(F18:H18="AB"),"AB",SUM(F18:H18))</f>
        <v>13</v>
      </c>
      <c r="J18" s="65" t="s">
        <v>10</v>
      </c>
      <c r="K18" s="65">
        <v>6</v>
      </c>
      <c r="L18" s="65">
        <v>7</v>
      </c>
      <c r="M18" s="36" cm="1">
        <f t="array" ref="M18">IF(AND(J18:L18="AB"),"AB",SUM(J18:L18))</f>
        <v>13</v>
      </c>
      <c r="N18" s="69"/>
      <c r="O18" s="70"/>
      <c r="P18" s="71"/>
      <c r="Q18" s="72"/>
      <c r="R18" s="72"/>
      <c r="S18" s="63"/>
      <c r="T18" s="70"/>
      <c r="U18" s="71"/>
      <c r="V18" s="72"/>
      <c r="W18" s="72"/>
      <c r="X18" s="72"/>
      <c r="Y18" s="38" cm="1">
        <f t="array" ref="Y18">IF(AND(U18:X18="AB"),"AB",SUM(U18:X18))</f>
        <v>0</v>
      </c>
      <c r="Z18" s="39" t="str">
        <f t="shared" si="0"/>
        <v/>
      </c>
      <c r="AA18" s="39" t="str">
        <f t="shared" si="1"/>
        <v/>
      </c>
      <c r="AB18" s="39" t="str">
        <f t="shared" si="2"/>
        <v/>
      </c>
      <c r="AC18" s="39" t="str">
        <f t="shared" si="3"/>
        <v/>
      </c>
      <c r="AD18" s="39" t="str">
        <f t="shared" si="4"/>
        <v/>
      </c>
      <c r="AE18" s="39" t="str">
        <f t="shared" si="5"/>
        <v/>
      </c>
      <c r="AF18" s="70">
        <v>8</v>
      </c>
      <c r="AG18" s="70">
        <v>9</v>
      </c>
      <c r="AH18" s="70">
        <v>8</v>
      </c>
      <c r="AI18" s="74">
        <v>8</v>
      </c>
      <c r="AJ18" s="73">
        <v>7</v>
      </c>
      <c r="AK18" s="73">
        <v>8</v>
      </c>
      <c r="AL18" s="50" cm="1">
        <f t="array" ref="AL18">IF(AND(AF18:AK18="AB"),"AB",SUM(AF18:AK18))</f>
        <v>48</v>
      </c>
      <c r="AM18" s="70">
        <v>19</v>
      </c>
      <c r="AN18" s="70">
        <v>20</v>
      </c>
      <c r="AO18" s="70">
        <v>19</v>
      </c>
      <c r="AP18" s="74">
        <v>19</v>
      </c>
      <c r="AQ18" s="73">
        <v>20</v>
      </c>
      <c r="AR18" s="73">
        <v>19</v>
      </c>
      <c r="AS18" s="73">
        <v>18</v>
      </c>
      <c r="AT18" s="73">
        <v>18</v>
      </c>
      <c r="AU18" s="73">
        <v>18</v>
      </c>
      <c r="AV18" s="73">
        <v>18</v>
      </c>
      <c r="AW18" s="40" cm="1">
        <f t="array" ref="AW18">IF(AND(AM18:AV18="AB"),"AB",AVERAGE(AM18:AV18))</f>
        <v>18.8</v>
      </c>
      <c r="AX18" s="70">
        <v>19</v>
      </c>
      <c r="AY18" s="37"/>
      <c r="AZ18" s="37"/>
    </row>
    <row r="19" spans="1:52" s="17" customFormat="1" ht="18" customHeight="1" x14ac:dyDescent="0.3">
      <c r="A19" s="61">
        <v>10</v>
      </c>
      <c r="B19" s="62">
        <v>10</v>
      </c>
      <c r="C19" s="63" t="s">
        <v>59</v>
      </c>
      <c r="D19" s="63">
        <v>1914361142</v>
      </c>
      <c r="E19" s="66" t="s">
        <v>133</v>
      </c>
      <c r="F19" s="65">
        <v>7</v>
      </c>
      <c r="G19" s="65">
        <v>6</v>
      </c>
      <c r="H19" s="65">
        <v>7</v>
      </c>
      <c r="I19" s="36" cm="1">
        <f t="array" ref="I19">IF(AND(F19:H19="AB"),"AB",SUM(F19:H19))</f>
        <v>20</v>
      </c>
      <c r="J19" s="65">
        <v>7</v>
      </c>
      <c r="K19" s="65">
        <v>6</v>
      </c>
      <c r="L19" s="65">
        <v>7</v>
      </c>
      <c r="M19" s="36" cm="1">
        <f t="array" ref="M19">IF(AND(J19:L19="AB"),"AB",SUM(J19:L19))</f>
        <v>20</v>
      </c>
      <c r="N19" s="69"/>
      <c r="O19" s="63"/>
      <c r="P19" s="63"/>
      <c r="Q19" s="63"/>
      <c r="R19" s="63"/>
      <c r="S19" s="63"/>
      <c r="T19" s="70"/>
      <c r="U19" s="74"/>
      <c r="V19" s="73"/>
      <c r="W19" s="73"/>
      <c r="X19" s="73"/>
      <c r="Y19" s="38" cm="1">
        <f t="array" ref="Y19">IF(AND(U19:X19="AB"),"AB",SUM(U19:X19))</f>
        <v>0</v>
      </c>
      <c r="Z19" s="39" t="str">
        <f t="shared" si="0"/>
        <v/>
      </c>
      <c r="AA19" s="39" t="str">
        <f t="shared" si="1"/>
        <v/>
      </c>
      <c r="AB19" s="39" t="str">
        <f t="shared" si="2"/>
        <v/>
      </c>
      <c r="AC19" s="39" t="str">
        <f t="shared" si="3"/>
        <v/>
      </c>
      <c r="AD19" s="39" t="str">
        <f t="shared" si="4"/>
        <v/>
      </c>
      <c r="AE19" s="39" t="str">
        <f t="shared" si="5"/>
        <v/>
      </c>
      <c r="AF19" s="70">
        <v>6.5</v>
      </c>
      <c r="AG19" s="70">
        <v>10</v>
      </c>
      <c r="AH19" s="70">
        <v>8</v>
      </c>
      <c r="AI19" s="74">
        <v>7.5</v>
      </c>
      <c r="AJ19" s="73">
        <v>9</v>
      </c>
      <c r="AK19" s="73">
        <v>6.5</v>
      </c>
      <c r="AL19" s="50" cm="1">
        <f t="array" ref="AL19">IF(AND(AF19:AK19="AB"),"AB",SUM(AF19:AK19))</f>
        <v>47.5</v>
      </c>
      <c r="AM19" s="70">
        <v>24</v>
      </c>
      <c r="AN19" s="70">
        <v>20</v>
      </c>
      <c r="AO19" s="70">
        <v>20</v>
      </c>
      <c r="AP19" s="74">
        <v>24</v>
      </c>
      <c r="AQ19" s="73">
        <v>20</v>
      </c>
      <c r="AR19" s="73">
        <v>20</v>
      </c>
      <c r="AS19" s="73">
        <v>17</v>
      </c>
      <c r="AT19" s="73">
        <v>16</v>
      </c>
      <c r="AU19" s="73">
        <v>16</v>
      </c>
      <c r="AV19" s="73">
        <v>16</v>
      </c>
      <c r="AW19" s="40" cm="1">
        <f t="array" ref="AW19">IF(AND(AM19:AV19="AB"),"AB",AVERAGE(AM19:AV19))</f>
        <v>19.3</v>
      </c>
      <c r="AX19" s="70">
        <v>24</v>
      </c>
      <c r="AY19" s="37"/>
      <c r="AZ19" s="37"/>
    </row>
    <row r="20" spans="1:52" s="17" customFormat="1" ht="18" customHeight="1" x14ac:dyDescent="0.3">
      <c r="A20" s="61">
        <v>11</v>
      </c>
      <c r="B20" s="62">
        <v>11</v>
      </c>
      <c r="C20" s="63" t="s">
        <v>60</v>
      </c>
      <c r="D20" s="63">
        <v>1914361143</v>
      </c>
      <c r="E20" s="66" t="s">
        <v>134</v>
      </c>
      <c r="F20" s="65">
        <v>6</v>
      </c>
      <c r="G20" s="65">
        <v>6</v>
      </c>
      <c r="H20" s="65">
        <v>7</v>
      </c>
      <c r="I20" s="36" cm="1">
        <f t="array" ref="I20">IF(AND(F20:H20="AB"),"AB",SUM(F20:H20))</f>
        <v>19</v>
      </c>
      <c r="J20" s="65">
        <v>6</v>
      </c>
      <c r="K20" s="65">
        <v>6</v>
      </c>
      <c r="L20" s="65">
        <v>7</v>
      </c>
      <c r="M20" s="36" cm="1">
        <f t="array" ref="M20">IF(AND(J20:L20="AB"),"AB",SUM(J20:L20))</f>
        <v>19</v>
      </c>
      <c r="N20" s="69"/>
      <c r="O20" s="63"/>
      <c r="P20" s="63"/>
      <c r="Q20" s="63"/>
      <c r="R20" s="63"/>
      <c r="S20" s="63"/>
      <c r="T20" s="70"/>
      <c r="U20" s="74"/>
      <c r="V20" s="73"/>
      <c r="W20" s="73"/>
      <c r="X20" s="73"/>
      <c r="Y20" s="38" cm="1">
        <f t="array" ref="Y20">IF(AND(U20:X20="AB"),"AB",SUM(U20:X20))</f>
        <v>0</v>
      </c>
      <c r="Z20" s="39" t="str">
        <f t="shared" si="0"/>
        <v/>
      </c>
      <c r="AA20" s="39" t="str">
        <f t="shared" si="1"/>
        <v/>
      </c>
      <c r="AB20" s="39" t="str">
        <f t="shared" si="2"/>
        <v/>
      </c>
      <c r="AC20" s="39" t="str">
        <f t="shared" si="3"/>
        <v/>
      </c>
      <c r="AD20" s="39" t="str">
        <f t="shared" si="4"/>
        <v/>
      </c>
      <c r="AE20" s="39" t="str">
        <f t="shared" si="5"/>
        <v/>
      </c>
      <c r="AF20" s="70">
        <v>8</v>
      </c>
      <c r="AG20" s="70">
        <v>7</v>
      </c>
      <c r="AH20" s="70">
        <v>7</v>
      </c>
      <c r="AI20" s="74">
        <v>0</v>
      </c>
      <c r="AJ20" s="73">
        <v>8</v>
      </c>
      <c r="AK20" s="73">
        <v>4</v>
      </c>
      <c r="AL20" s="50" cm="1">
        <f t="array" ref="AL20">IF(AND(AF20:AK20="AB"),"AB",SUM(AF20:AK20))</f>
        <v>34</v>
      </c>
      <c r="AM20" s="70">
        <v>15</v>
      </c>
      <c r="AN20" s="70">
        <v>19</v>
      </c>
      <c r="AO20" s="70">
        <v>14</v>
      </c>
      <c r="AP20" s="74">
        <v>15</v>
      </c>
      <c r="AQ20" s="73">
        <v>19</v>
      </c>
      <c r="AR20" s="73">
        <v>14</v>
      </c>
      <c r="AS20" s="73">
        <v>19</v>
      </c>
      <c r="AT20" s="73">
        <v>16</v>
      </c>
      <c r="AU20" s="73">
        <v>16</v>
      </c>
      <c r="AV20" s="73">
        <v>16</v>
      </c>
      <c r="AW20" s="40" cm="1">
        <f t="array" ref="AW20">IF(AND(AM20:AV20="AB"),"AB",AVERAGE(AM20:AV20))</f>
        <v>16.3</v>
      </c>
      <c r="AX20" s="70">
        <v>15</v>
      </c>
      <c r="AY20" s="37"/>
      <c r="AZ20" s="37"/>
    </row>
    <row r="21" spans="1:52" s="17" customFormat="1" ht="18" customHeight="1" x14ac:dyDescent="0.3">
      <c r="A21" s="61">
        <v>12</v>
      </c>
      <c r="B21" s="62">
        <v>12</v>
      </c>
      <c r="C21" s="63" t="s">
        <v>61</v>
      </c>
      <c r="D21" s="63">
        <v>1914361144</v>
      </c>
      <c r="E21" s="66" t="s">
        <v>135</v>
      </c>
      <c r="F21" s="65">
        <v>5</v>
      </c>
      <c r="G21" s="65">
        <v>6</v>
      </c>
      <c r="H21" s="65">
        <v>7</v>
      </c>
      <c r="I21" s="36" cm="1">
        <f t="array" ref="I21">IF(AND(F21:H21="AB"),"AB",SUM(F21:H21))</f>
        <v>18</v>
      </c>
      <c r="J21" s="65">
        <v>5</v>
      </c>
      <c r="K21" s="65">
        <v>6</v>
      </c>
      <c r="L21" s="65">
        <v>7</v>
      </c>
      <c r="M21" s="36" cm="1">
        <f t="array" ref="M21">IF(AND(J21:L21="AB"),"AB",SUM(J21:L21))</f>
        <v>18</v>
      </c>
      <c r="N21" s="69"/>
      <c r="O21" s="63"/>
      <c r="P21" s="63"/>
      <c r="Q21" s="63"/>
      <c r="R21" s="63"/>
      <c r="S21" s="63"/>
      <c r="T21" s="70"/>
      <c r="U21" s="74"/>
      <c r="V21" s="73"/>
      <c r="W21" s="73"/>
      <c r="X21" s="73"/>
      <c r="Y21" s="38" cm="1">
        <f t="array" ref="Y21">IF(AND(U21:X21="AB"),"AB",SUM(U21:X21))</f>
        <v>0</v>
      </c>
      <c r="Z21" s="39" t="str">
        <f t="shared" si="0"/>
        <v/>
      </c>
      <c r="AA21" s="39" t="str">
        <f t="shared" si="1"/>
        <v/>
      </c>
      <c r="AB21" s="39" t="str">
        <f t="shared" si="2"/>
        <v/>
      </c>
      <c r="AC21" s="39" t="str">
        <f t="shared" si="3"/>
        <v/>
      </c>
      <c r="AD21" s="39" t="str">
        <f t="shared" si="4"/>
        <v/>
      </c>
      <c r="AE21" s="39" t="str">
        <f t="shared" si="5"/>
        <v/>
      </c>
      <c r="AF21" s="70">
        <v>7</v>
      </c>
      <c r="AG21" s="70">
        <v>5</v>
      </c>
      <c r="AH21" s="70">
        <v>6</v>
      </c>
      <c r="AI21" s="74">
        <v>5</v>
      </c>
      <c r="AJ21" s="73">
        <v>10</v>
      </c>
      <c r="AK21" s="73">
        <v>7</v>
      </c>
      <c r="AL21" s="50" cm="1">
        <f t="array" ref="AL21">IF(AND(AF21:AK21="AB"),"AB",SUM(AF21:AK21))</f>
        <v>40</v>
      </c>
      <c r="AM21" s="70">
        <v>19</v>
      </c>
      <c r="AN21" s="70">
        <v>18</v>
      </c>
      <c r="AO21" s="70">
        <v>23</v>
      </c>
      <c r="AP21" s="74">
        <v>19</v>
      </c>
      <c r="AQ21" s="73">
        <v>18</v>
      </c>
      <c r="AR21" s="73">
        <v>23</v>
      </c>
      <c r="AS21" s="73">
        <v>20</v>
      </c>
      <c r="AT21" s="73">
        <v>20</v>
      </c>
      <c r="AU21" s="73">
        <v>20</v>
      </c>
      <c r="AV21" s="73">
        <v>20</v>
      </c>
      <c r="AW21" s="40" cm="1">
        <f t="array" ref="AW21">IF(AND(AM21:AV21="AB"),"AB",AVERAGE(AM21:AV21))</f>
        <v>20</v>
      </c>
      <c r="AX21" s="70">
        <v>19</v>
      </c>
      <c r="AY21" s="37"/>
      <c r="AZ21" s="37"/>
    </row>
    <row r="22" spans="1:52" s="17" customFormat="1" ht="18" customHeight="1" x14ac:dyDescent="0.3">
      <c r="A22" s="61">
        <v>13</v>
      </c>
      <c r="B22" s="62">
        <v>13</v>
      </c>
      <c r="C22" s="63" t="s">
        <v>62</v>
      </c>
      <c r="D22" s="63">
        <v>1914361145</v>
      </c>
      <c r="E22" s="66" t="s">
        <v>136</v>
      </c>
      <c r="F22" s="65">
        <v>4</v>
      </c>
      <c r="G22" s="65">
        <v>6</v>
      </c>
      <c r="H22" s="65">
        <v>7</v>
      </c>
      <c r="I22" s="36" cm="1">
        <f t="array" ref="I22">IF(AND(F22:H22="AB"),"AB",SUM(F22:H22))</f>
        <v>17</v>
      </c>
      <c r="J22" s="65">
        <v>4</v>
      </c>
      <c r="K22" s="65">
        <v>6</v>
      </c>
      <c r="L22" s="65">
        <v>7</v>
      </c>
      <c r="M22" s="36" cm="1">
        <f t="array" ref="M22">IF(AND(J22:L22="AB"),"AB",SUM(J22:L22))</f>
        <v>17</v>
      </c>
      <c r="N22" s="69"/>
      <c r="O22" s="63"/>
      <c r="P22" s="63"/>
      <c r="Q22" s="63"/>
      <c r="R22" s="63"/>
      <c r="S22" s="63"/>
      <c r="T22" s="70"/>
      <c r="U22" s="74"/>
      <c r="V22" s="73"/>
      <c r="W22" s="73"/>
      <c r="X22" s="73"/>
      <c r="Y22" s="38" cm="1">
        <f t="array" ref="Y22">IF(AND(U22:X22="AB"),"AB",SUM(U22:X22))</f>
        <v>0</v>
      </c>
      <c r="Z22" s="39" t="str">
        <f t="shared" si="0"/>
        <v/>
      </c>
      <c r="AA22" s="39" t="str">
        <f t="shared" si="1"/>
        <v/>
      </c>
      <c r="AB22" s="39" t="str">
        <f t="shared" si="2"/>
        <v/>
      </c>
      <c r="AC22" s="39" t="str">
        <f t="shared" si="3"/>
        <v/>
      </c>
      <c r="AD22" s="39" t="str">
        <f t="shared" si="4"/>
        <v/>
      </c>
      <c r="AE22" s="39" t="str">
        <f t="shared" si="5"/>
        <v/>
      </c>
      <c r="AF22" s="70">
        <v>9.5</v>
      </c>
      <c r="AG22" s="70">
        <v>10</v>
      </c>
      <c r="AH22" s="70">
        <v>10</v>
      </c>
      <c r="AI22" s="74">
        <v>8.5</v>
      </c>
      <c r="AJ22" s="73">
        <v>10</v>
      </c>
      <c r="AK22" s="73">
        <v>8</v>
      </c>
      <c r="AL22" s="50" cm="1">
        <f t="array" ref="AL22">IF(AND(AF22:AK22="AB"),"AB",SUM(AF22:AK22))</f>
        <v>56</v>
      </c>
      <c r="AM22" s="70">
        <v>17</v>
      </c>
      <c r="AN22" s="70">
        <v>19</v>
      </c>
      <c r="AO22" s="70">
        <v>18</v>
      </c>
      <c r="AP22" s="74">
        <v>17</v>
      </c>
      <c r="AQ22" s="73">
        <v>19</v>
      </c>
      <c r="AR22" s="73">
        <v>18</v>
      </c>
      <c r="AS22" s="73">
        <v>14</v>
      </c>
      <c r="AT22" s="73">
        <v>19</v>
      </c>
      <c r="AU22" s="73">
        <v>19</v>
      </c>
      <c r="AV22" s="73">
        <v>19</v>
      </c>
      <c r="AW22" s="40" cm="1">
        <f t="array" ref="AW22">IF(AND(AM22:AV22="AB"),"AB",AVERAGE(AM22:AV22))</f>
        <v>17.899999999999999</v>
      </c>
      <c r="AX22" s="70">
        <v>17</v>
      </c>
      <c r="AY22" s="37"/>
      <c r="AZ22" s="37"/>
    </row>
    <row r="23" spans="1:52" s="17" customFormat="1" ht="18" customHeight="1" x14ac:dyDescent="0.3">
      <c r="A23" s="61">
        <v>14</v>
      </c>
      <c r="B23" s="62">
        <v>14</v>
      </c>
      <c r="C23" s="63" t="s">
        <v>63</v>
      </c>
      <c r="D23" s="63">
        <v>1914361146</v>
      </c>
      <c r="E23" s="66" t="s">
        <v>137</v>
      </c>
      <c r="F23" s="65">
        <v>3</v>
      </c>
      <c r="G23" s="65">
        <v>6</v>
      </c>
      <c r="H23" s="65">
        <v>7</v>
      </c>
      <c r="I23" s="36" cm="1">
        <f t="array" ref="I23">IF(AND(F23:H23="AB"),"AB",SUM(F23:H23))</f>
        <v>16</v>
      </c>
      <c r="J23" s="65">
        <v>3</v>
      </c>
      <c r="K23" s="65">
        <v>6</v>
      </c>
      <c r="L23" s="65">
        <v>7</v>
      </c>
      <c r="M23" s="36" cm="1">
        <f t="array" ref="M23">IF(AND(J23:L23="AB"),"AB",SUM(J23:L23))</f>
        <v>16</v>
      </c>
      <c r="N23" s="69"/>
      <c r="O23" s="63"/>
      <c r="P23" s="63"/>
      <c r="Q23" s="63"/>
      <c r="R23" s="63"/>
      <c r="S23" s="63"/>
      <c r="T23" s="70"/>
      <c r="U23" s="74"/>
      <c r="V23" s="73"/>
      <c r="W23" s="73"/>
      <c r="X23" s="73"/>
      <c r="Y23" s="38" cm="1">
        <f t="array" ref="Y23">IF(AND(U23:X23="AB"),"AB",SUM(U23:X23))</f>
        <v>0</v>
      </c>
      <c r="Z23" s="39" t="str">
        <f t="shared" si="0"/>
        <v/>
      </c>
      <c r="AA23" s="39" t="str">
        <f t="shared" si="1"/>
        <v/>
      </c>
      <c r="AB23" s="39" t="str">
        <f t="shared" si="2"/>
        <v/>
      </c>
      <c r="AC23" s="39" t="str">
        <f t="shared" si="3"/>
        <v/>
      </c>
      <c r="AD23" s="39" t="str">
        <f t="shared" si="4"/>
        <v/>
      </c>
      <c r="AE23" s="39" t="str">
        <f t="shared" si="5"/>
        <v/>
      </c>
      <c r="AF23" s="70">
        <v>2.5</v>
      </c>
      <c r="AG23" s="70">
        <v>10</v>
      </c>
      <c r="AH23" s="70">
        <v>3.5</v>
      </c>
      <c r="AI23" s="74">
        <v>8.5</v>
      </c>
      <c r="AJ23" s="73">
        <v>5.5</v>
      </c>
      <c r="AK23" s="73">
        <v>4</v>
      </c>
      <c r="AL23" s="50" cm="1">
        <f t="array" ref="AL23">IF(AND(AF23:AK23="AB"),"AB",SUM(AF23:AK23))</f>
        <v>34</v>
      </c>
      <c r="AM23" s="70">
        <v>17</v>
      </c>
      <c r="AN23" s="70">
        <v>18</v>
      </c>
      <c r="AO23" s="70">
        <v>21</v>
      </c>
      <c r="AP23" s="74">
        <v>17</v>
      </c>
      <c r="AQ23" s="73">
        <v>18</v>
      </c>
      <c r="AR23" s="73">
        <v>21</v>
      </c>
      <c r="AS23" s="73">
        <v>23</v>
      </c>
      <c r="AT23" s="73">
        <v>19</v>
      </c>
      <c r="AU23" s="73">
        <v>19</v>
      </c>
      <c r="AV23" s="73">
        <v>19</v>
      </c>
      <c r="AW23" s="40" cm="1">
        <f t="array" ref="AW23">IF(AND(AM23:AV23="AB"),"AB",AVERAGE(AM23:AV23))</f>
        <v>19.2</v>
      </c>
      <c r="AX23" s="70">
        <v>17</v>
      </c>
      <c r="AY23" s="37"/>
      <c r="AZ23" s="37"/>
    </row>
    <row r="24" spans="1:52" s="17" customFormat="1" ht="18" customHeight="1" x14ac:dyDescent="0.3">
      <c r="A24" s="61">
        <v>15</v>
      </c>
      <c r="B24" s="62">
        <v>15</v>
      </c>
      <c r="C24" s="63" t="s">
        <v>64</v>
      </c>
      <c r="D24" s="63">
        <v>1914361147</v>
      </c>
      <c r="E24" s="66" t="s">
        <v>138</v>
      </c>
      <c r="F24" s="65">
        <v>2</v>
      </c>
      <c r="G24" s="65">
        <v>6</v>
      </c>
      <c r="H24" s="65">
        <v>7</v>
      </c>
      <c r="I24" s="36" cm="1">
        <f t="array" ref="I24">IF(AND(F24:H24="AB"),"AB",SUM(F24:H24))</f>
        <v>15</v>
      </c>
      <c r="J24" s="65">
        <v>2</v>
      </c>
      <c r="K24" s="65">
        <v>6</v>
      </c>
      <c r="L24" s="65">
        <v>7</v>
      </c>
      <c r="M24" s="36" cm="1">
        <f t="array" ref="M24">IF(AND(J24:L24="AB"),"AB",SUM(J24:L24))</f>
        <v>15</v>
      </c>
      <c r="N24" s="69"/>
      <c r="O24" s="63"/>
      <c r="P24" s="63"/>
      <c r="Q24" s="63"/>
      <c r="R24" s="63"/>
      <c r="S24" s="63"/>
      <c r="T24" s="70"/>
      <c r="U24" s="74"/>
      <c r="V24" s="73"/>
      <c r="W24" s="73"/>
      <c r="X24" s="73"/>
      <c r="Y24" s="38" cm="1">
        <f t="array" ref="Y24">IF(AND(U24:X24="AB"),"AB",SUM(U24:X24))</f>
        <v>0</v>
      </c>
      <c r="Z24" s="39" t="str">
        <f t="shared" si="0"/>
        <v/>
      </c>
      <c r="AA24" s="39" t="str">
        <f t="shared" si="1"/>
        <v/>
      </c>
      <c r="AB24" s="39" t="str">
        <f t="shared" si="2"/>
        <v/>
      </c>
      <c r="AC24" s="39" t="str">
        <f t="shared" si="3"/>
        <v/>
      </c>
      <c r="AD24" s="39" t="str">
        <f t="shared" si="4"/>
        <v/>
      </c>
      <c r="AE24" s="39" t="str">
        <f t="shared" si="5"/>
        <v/>
      </c>
      <c r="AF24" s="70">
        <v>8</v>
      </c>
      <c r="AG24" s="70">
        <v>5</v>
      </c>
      <c r="AH24" s="70">
        <v>3</v>
      </c>
      <c r="AI24" s="74">
        <v>6</v>
      </c>
      <c r="AJ24" s="73">
        <v>8</v>
      </c>
      <c r="AK24" s="73">
        <v>8</v>
      </c>
      <c r="AL24" s="50" cm="1">
        <f t="array" ref="AL24">IF(AND(AF24:AK24="AB"),"AB",SUM(AF24:AK24))</f>
        <v>38</v>
      </c>
      <c r="AM24" s="70">
        <v>13</v>
      </c>
      <c r="AN24" s="70">
        <v>14</v>
      </c>
      <c r="AO24" s="70">
        <v>22</v>
      </c>
      <c r="AP24" s="74">
        <v>13</v>
      </c>
      <c r="AQ24" s="73">
        <v>14</v>
      </c>
      <c r="AR24" s="73">
        <v>22</v>
      </c>
      <c r="AS24" s="73">
        <v>18</v>
      </c>
      <c r="AT24" s="73">
        <v>19</v>
      </c>
      <c r="AU24" s="73">
        <v>19</v>
      </c>
      <c r="AV24" s="73">
        <v>19</v>
      </c>
      <c r="AW24" s="40" cm="1">
        <f t="array" ref="AW24">IF(AND(AM24:AV24="AB"),"AB",AVERAGE(AM24:AV24))</f>
        <v>17.3</v>
      </c>
      <c r="AX24" s="70">
        <v>13</v>
      </c>
      <c r="AY24" s="37"/>
      <c r="AZ24" s="37"/>
    </row>
    <row r="25" spans="1:52" s="17" customFormat="1" ht="18" customHeight="1" x14ac:dyDescent="0.3">
      <c r="A25" s="61">
        <v>16</v>
      </c>
      <c r="B25" s="62">
        <v>16</v>
      </c>
      <c r="C25" s="63" t="s">
        <v>65</v>
      </c>
      <c r="D25" s="63">
        <v>1914361148</v>
      </c>
      <c r="E25" s="66" t="s">
        <v>139</v>
      </c>
      <c r="F25" s="65">
        <v>1</v>
      </c>
      <c r="G25" s="65">
        <v>6</v>
      </c>
      <c r="H25" s="65">
        <v>7</v>
      </c>
      <c r="I25" s="36" cm="1">
        <f t="array" ref="I25">IF(AND(F25:H25="AB"),"AB",SUM(F25:H25))</f>
        <v>14</v>
      </c>
      <c r="J25" s="65">
        <v>1</v>
      </c>
      <c r="K25" s="65">
        <v>6</v>
      </c>
      <c r="L25" s="65">
        <v>7</v>
      </c>
      <c r="M25" s="36" cm="1">
        <f t="array" ref="M25">IF(AND(J25:L25="AB"),"AB",SUM(J25:L25))</f>
        <v>14</v>
      </c>
      <c r="N25" s="69"/>
      <c r="O25" s="63"/>
      <c r="P25" s="63"/>
      <c r="Q25" s="63"/>
      <c r="R25" s="63"/>
      <c r="S25" s="63"/>
      <c r="T25" s="70"/>
      <c r="U25" s="74"/>
      <c r="V25" s="73"/>
      <c r="W25" s="73"/>
      <c r="X25" s="73"/>
      <c r="Y25" s="38" cm="1">
        <f t="array" ref="Y25">IF(AND(U25:X25="AB"),"AB",SUM(U25:X25))</f>
        <v>0</v>
      </c>
      <c r="Z25" s="39" t="str">
        <f t="shared" si="0"/>
        <v/>
      </c>
      <c r="AA25" s="39" t="str">
        <f t="shared" si="1"/>
        <v/>
      </c>
      <c r="AB25" s="39" t="str">
        <f t="shared" si="2"/>
        <v/>
      </c>
      <c r="AC25" s="39" t="str">
        <f t="shared" si="3"/>
        <v/>
      </c>
      <c r="AD25" s="39" t="str">
        <f t="shared" si="4"/>
        <v/>
      </c>
      <c r="AE25" s="39" t="str">
        <f t="shared" si="5"/>
        <v/>
      </c>
      <c r="AF25" s="70">
        <v>1</v>
      </c>
      <c r="AG25" s="70">
        <v>3.5</v>
      </c>
      <c r="AH25" s="70">
        <v>5</v>
      </c>
      <c r="AI25" s="74">
        <v>8.5</v>
      </c>
      <c r="AJ25" s="73">
        <v>8</v>
      </c>
      <c r="AK25" s="73">
        <v>5.5</v>
      </c>
      <c r="AL25" s="50" cm="1">
        <f t="array" ref="AL25">IF(AND(AF25:AK25="AB"),"AB",SUM(AF25:AK25))</f>
        <v>31.5</v>
      </c>
      <c r="AM25" s="70">
        <v>20</v>
      </c>
      <c r="AN25" s="70">
        <v>20</v>
      </c>
      <c r="AO25" s="70">
        <v>16</v>
      </c>
      <c r="AP25" s="74">
        <v>20</v>
      </c>
      <c r="AQ25" s="73">
        <v>20</v>
      </c>
      <c r="AR25" s="73">
        <v>16</v>
      </c>
      <c r="AS25" s="73">
        <v>21</v>
      </c>
      <c r="AT25" s="73">
        <v>20</v>
      </c>
      <c r="AU25" s="73">
        <v>20</v>
      </c>
      <c r="AV25" s="73">
        <v>20</v>
      </c>
      <c r="AW25" s="40" cm="1">
        <f t="array" ref="AW25">IF(AND(AM25:AV25="AB"),"AB",AVERAGE(AM25:AV25))</f>
        <v>19.3</v>
      </c>
      <c r="AX25" s="70">
        <v>20</v>
      </c>
      <c r="AY25" s="37"/>
      <c r="AZ25" s="37"/>
    </row>
    <row r="26" spans="1:52" s="17" customFormat="1" ht="18" customHeight="1" x14ac:dyDescent="0.3">
      <c r="A26" s="61">
        <v>17</v>
      </c>
      <c r="B26" s="62">
        <v>17</v>
      </c>
      <c r="C26" s="63" t="s">
        <v>66</v>
      </c>
      <c r="D26" s="63">
        <v>1914361149</v>
      </c>
      <c r="E26" s="66" t="s">
        <v>140</v>
      </c>
      <c r="F26" s="65">
        <v>0</v>
      </c>
      <c r="G26" s="65">
        <v>6</v>
      </c>
      <c r="H26" s="65">
        <v>7</v>
      </c>
      <c r="I26" s="36" cm="1">
        <f t="array" ref="I26">IF(AND(F26:H26="AB"),"AB",SUM(F26:H26))</f>
        <v>13</v>
      </c>
      <c r="J26" s="65">
        <v>0</v>
      </c>
      <c r="K26" s="65">
        <v>6</v>
      </c>
      <c r="L26" s="65">
        <v>7</v>
      </c>
      <c r="M26" s="36" cm="1">
        <f t="array" ref="M26">IF(AND(J26:L26="AB"),"AB",SUM(J26:L26))</f>
        <v>13</v>
      </c>
      <c r="N26" s="69"/>
      <c r="O26" s="63"/>
      <c r="P26" s="63"/>
      <c r="Q26" s="63"/>
      <c r="R26" s="63"/>
      <c r="S26" s="63"/>
      <c r="T26" s="70"/>
      <c r="U26" s="74"/>
      <c r="V26" s="73"/>
      <c r="W26" s="73"/>
      <c r="X26" s="73"/>
      <c r="Y26" s="38" cm="1">
        <f t="array" ref="Y26">IF(AND(U26:X26="AB"),"AB",SUM(U26:X26))</f>
        <v>0</v>
      </c>
      <c r="Z26" s="39" t="str">
        <f t="shared" si="0"/>
        <v/>
      </c>
      <c r="AA26" s="39" t="str">
        <f t="shared" si="1"/>
        <v/>
      </c>
      <c r="AB26" s="39" t="str">
        <f t="shared" si="2"/>
        <v/>
      </c>
      <c r="AC26" s="39" t="str">
        <f t="shared" si="3"/>
        <v/>
      </c>
      <c r="AD26" s="39" t="str">
        <f t="shared" si="4"/>
        <v/>
      </c>
      <c r="AE26" s="39" t="str">
        <f t="shared" si="5"/>
        <v/>
      </c>
      <c r="AF26" s="70">
        <v>9</v>
      </c>
      <c r="AG26" s="70">
        <v>10</v>
      </c>
      <c r="AH26" s="70">
        <v>9</v>
      </c>
      <c r="AI26" s="74">
        <v>8</v>
      </c>
      <c r="AJ26" s="73">
        <v>9</v>
      </c>
      <c r="AK26" s="73">
        <v>6.5</v>
      </c>
      <c r="AL26" s="50" cm="1">
        <f t="array" ref="AL26">IF(AND(AF26:AK26="AB"),"AB",SUM(AF26:AK26))</f>
        <v>51.5</v>
      </c>
      <c r="AM26" s="70">
        <v>24</v>
      </c>
      <c r="AN26" s="70">
        <v>21</v>
      </c>
      <c r="AO26" s="70">
        <v>16</v>
      </c>
      <c r="AP26" s="74">
        <v>24</v>
      </c>
      <c r="AQ26" s="73">
        <v>21</v>
      </c>
      <c r="AR26" s="73">
        <v>16</v>
      </c>
      <c r="AS26" s="73">
        <v>22</v>
      </c>
      <c r="AT26" s="73">
        <v>21</v>
      </c>
      <c r="AU26" s="73">
        <v>21</v>
      </c>
      <c r="AV26" s="73">
        <v>21</v>
      </c>
      <c r="AW26" s="40" cm="1">
        <f t="array" ref="AW26">IF(AND(AM26:AV26="AB"),"AB",AVERAGE(AM26:AV26))</f>
        <v>20.7</v>
      </c>
      <c r="AX26" s="70">
        <v>24</v>
      </c>
      <c r="AY26" s="37"/>
      <c r="AZ26" s="37"/>
    </row>
    <row r="27" spans="1:52" s="17" customFormat="1" ht="18" customHeight="1" x14ac:dyDescent="0.3">
      <c r="A27" s="61">
        <v>18</v>
      </c>
      <c r="B27" s="62">
        <v>18</v>
      </c>
      <c r="C27" s="63" t="s">
        <v>67</v>
      </c>
      <c r="D27" s="63">
        <v>1914361150</v>
      </c>
      <c r="E27" s="66" t="s">
        <v>141</v>
      </c>
      <c r="F27" s="65" t="s">
        <v>10</v>
      </c>
      <c r="G27" s="65">
        <v>6</v>
      </c>
      <c r="H27" s="65">
        <v>7</v>
      </c>
      <c r="I27" s="36" cm="1">
        <f t="array" ref="I27">IF(AND(F27:H27="AB"),"AB",SUM(F27:H27))</f>
        <v>13</v>
      </c>
      <c r="J27" s="65" t="s">
        <v>10</v>
      </c>
      <c r="K27" s="65">
        <v>6</v>
      </c>
      <c r="L27" s="65">
        <v>7</v>
      </c>
      <c r="M27" s="36" cm="1">
        <f t="array" ref="M27">IF(AND(J27:L27="AB"),"AB",SUM(J27:L27))</f>
        <v>13</v>
      </c>
      <c r="N27" s="69"/>
      <c r="O27" s="63"/>
      <c r="P27" s="63"/>
      <c r="Q27" s="63"/>
      <c r="R27" s="63"/>
      <c r="S27" s="63"/>
      <c r="T27" s="70"/>
      <c r="U27" s="74"/>
      <c r="V27" s="73"/>
      <c r="W27" s="73"/>
      <c r="X27" s="73"/>
      <c r="Y27" s="38" cm="1">
        <f t="array" ref="Y27">IF(AND(U27:X27="AB"),"AB",SUM(U27:X27))</f>
        <v>0</v>
      </c>
      <c r="Z27" s="39" t="str">
        <f t="shared" si="0"/>
        <v/>
      </c>
      <c r="AA27" s="39" t="str">
        <f t="shared" si="1"/>
        <v/>
      </c>
      <c r="AB27" s="39" t="str">
        <f t="shared" si="2"/>
        <v/>
      </c>
      <c r="AC27" s="39" t="str">
        <f t="shared" si="3"/>
        <v/>
      </c>
      <c r="AD27" s="39" t="str">
        <f t="shared" si="4"/>
        <v/>
      </c>
      <c r="AE27" s="39" t="str">
        <f t="shared" si="5"/>
        <v/>
      </c>
      <c r="AF27" s="70">
        <v>8</v>
      </c>
      <c r="AG27" s="70">
        <v>9</v>
      </c>
      <c r="AH27" s="70">
        <v>3</v>
      </c>
      <c r="AI27" s="74">
        <v>7</v>
      </c>
      <c r="AJ27" s="73">
        <v>8</v>
      </c>
      <c r="AK27" s="73">
        <v>7</v>
      </c>
      <c r="AL27" s="50" cm="1">
        <f t="array" ref="AL27">IF(AND(AF27:AK27="AB"),"AB",SUM(AF27:AK27))</f>
        <v>42</v>
      </c>
      <c r="AM27" s="70">
        <v>23</v>
      </c>
      <c r="AN27" s="70">
        <v>20</v>
      </c>
      <c r="AO27" s="70">
        <v>20</v>
      </c>
      <c r="AP27" s="74">
        <v>23</v>
      </c>
      <c r="AQ27" s="73">
        <v>20</v>
      </c>
      <c r="AR27" s="73">
        <v>20</v>
      </c>
      <c r="AS27" s="73">
        <v>24</v>
      </c>
      <c r="AT27" s="73">
        <v>21</v>
      </c>
      <c r="AU27" s="73">
        <v>21</v>
      </c>
      <c r="AV27" s="73">
        <v>21</v>
      </c>
      <c r="AW27" s="40" cm="1">
        <f t="array" ref="AW27">IF(AND(AM27:AV27="AB"),"AB",AVERAGE(AM27:AV27))</f>
        <v>21.3</v>
      </c>
      <c r="AX27" s="70">
        <v>23</v>
      </c>
      <c r="AY27" s="37"/>
      <c r="AZ27" s="37"/>
    </row>
    <row r="28" spans="1:52" s="17" customFormat="1" ht="18" customHeight="1" x14ac:dyDescent="0.3">
      <c r="A28" s="61">
        <v>19</v>
      </c>
      <c r="B28" s="62">
        <v>19</v>
      </c>
      <c r="C28" s="63" t="s">
        <v>68</v>
      </c>
      <c r="D28" s="63">
        <v>1914361151</v>
      </c>
      <c r="E28" s="66" t="s">
        <v>142</v>
      </c>
      <c r="F28" s="65">
        <v>7</v>
      </c>
      <c r="G28" s="65">
        <v>6</v>
      </c>
      <c r="H28" s="65">
        <v>7</v>
      </c>
      <c r="I28" s="36" cm="1">
        <f t="array" ref="I28">IF(AND(F28:H28="AB"),"AB",SUM(F28:H28))</f>
        <v>20</v>
      </c>
      <c r="J28" s="65">
        <v>7</v>
      </c>
      <c r="K28" s="65">
        <v>6</v>
      </c>
      <c r="L28" s="65">
        <v>7</v>
      </c>
      <c r="M28" s="36" cm="1">
        <f t="array" ref="M28">IF(AND(J28:L28="AB"),"AB",SUM(J28:L28))</f>
        <v>20</v>
      </c>
      <c r="N28" s="69"/>
      <c r="O28" s="63"/>
      <c r="P28" s="63"/>
      <c r="Q28" s="63"/>
      <c r="R28" s="63"/>
      <c r="S28" s="63"/>
      <c r="T28" s="70"/>
      <c r="U28" s="74"/>
      <c r="V28" s="73"/>
      <c r="W28" s="73"/>
      <c r="X28" s="73"/>
      <c r="Y28" s="38" cm="1">
        <f t="array" ref="Y28">IF(AND(U28:X28="AB"),"AB",SUM(U28:X28))</f>
        <v>0</v>
      </c>
      <c r="Z28" s="39" t="str">
        <f t="shared" si="0"/>
        <v/>
      </c>
      <c r="AA28" s="39" t="str">
        <f t="shared" si="1"/>
        <v/>
      </c>
      <c r="AB28" s="39" t="str">
        <f t="shared" si="2"/>
        <v/>
      </c>
      <c r="AC28" s="39" t="str">
        <f t="shared" si="3"/>
        <v/>
      </c>
      <c r="AD28" s="39" t="str">
        <f t="shared" si="4"/>
        <v/>
      </c>
      <c r="AE28" s="39" t="str">
        <f t="shared" si="5"/>
        <v/>
      </c>
      <c r="AF28" s="70">
        <v>5.5</v>
      </c>
      <c r="AG28" s="70">
        <v>9</v>
      </c>
      <c r="AH28" s="70">
        <v>4</v>
      </c>
      <c r="AI28" s="74">
        <v>5.5</v>
      </c>
      <c r="AJ28" s="73">
        <v>7.5</v>
      </c>
      <c r="AK28" s="73">
        <v>5</v>
      </c>
      <c r="AL28" s="50" cm="1">
        <f t="array" ref="AL28">IF(AND(AF28:AK28="AB"),"AB",SUM(AF28:AK28))</f>
        <v>36.5</v>
      </c>
      <c r="AM28" s="70">
        <v>22</v>
      </c>
      <c r="AN28" s="70">
        <v>20</v>
      </c>
      <c r="AO28" s="70">
        <v>19</v>
      </c>
      <c r="AP28" s="74">
        <v>22</v>
      </c>
      <c r="AQ28" s="73">
        <v>20</v>
      </c>
      <c r="AR28" s="73">
        <v>19</v>
      </c>
      <c r="AS28" s="73">
        <v>18</v>
      </c>
      <c r="AT28" s="73">
        <v>15</v>
      </c>
      <c r="AU28" s="73">
        <v>15</v>
      </c>
      <c r="AV28" s="73">
        <v>15</v>
      </c>
      <c r="AW28" s="40" cm="1">
        <f t="array" ref="AW28">IF(AND(AM28:AV28="AB"),"AB",AVERAGE(AM28:AV28))</f>
        <v>18.5</v>
      </c>
      <c r="AX28" s="70">
        <v>22</v>
      </c>
      <c r="AY28" s="37"/>
      <c r="AZ28" s="37"/>
    </row>
    <row r="29" spans="1:52" s="17" customFormat="1" ht="18" customHeight="1" x14ac:dyDescent="0.3">
      <c r="A29" s="61">
        <v>20</v>
      </c>
      <c r="B29" s="62">
        <v>20</v>
      </c>
      <c r="C29" s="63" t="s">
        <v>69</v>
      </c>
      <c r="D29" s="63">
        <v>1914361152</v>
      </c>
      <c r="E29" s="66" t="s">
        <v>143</v>
      </c>
      <c r="F29" s="65">
        <v>6</v>
      </c>
      <c r="G29" s="65">
        <v>6</v>
      </c>
      <c r="H29" s="65">
        <v>7</v>
      </c>
      <c r="I29" s="36" cm="1">
        <f t="array" ref="I29">IF(AND(F29:H29="AB"),"AB",SUM(F29:H29))</f>
        <v>19</v>
      </c>
      <c r="J29" s="65">
        <v>6</v>
      </c>
      <c r="K29" s="65">
        <v>6</v>
      </c>
      <c r="L29" s="65">
        <v>7</v>
      </c>
      <c r="M29" s="36" cm="1">
        <f t="array" ref="M29">IF(AND(J29:L29="AB"),"AB",SUM(J29:L29))</f>
        <v>19</v>
      </c>
      <c r="N29" s="69"/>
      <c r="O29" s="63"/>
      <c r="P29" s="63"/>
      <c r="Q29" s="63"/>
      <c r="R29" s="63"/>
      <c r="S29" s="63"/>
      <c r="T29" s="70"/>
      <c r="U29" s="74"/>
      <c r="V29" s="73"/>
      <c r="W29" s="73"/>
      <c r="X29" s="73"/>
      <c r="Y29" s="38" cm="1">
        <f t="array" ref="Y29">IF(AND(U29:X29="AB"),"AB",SUM(U29:X29))</f>
        <v>0</v>
      </c>
      <c r="Z29" s="39" t="str">
        <f t="shared" si="0"/>
        <v/>
      </c>
      <c r="AA29" s="39" t="str">
        <f t="shared" si="1"/>
        <v/>
      </c>
      <c r="AB29" s="39" t="str">
        <f t="shared" si="2"/>
        <v/>
      </c>
      <c r="AC29" s="39" t="str">
        <f t="shared" si="3"/>
        <v/>
      </c>
      <c r="AD29" s="39" t="str">
        <f t="shared" si="4"/>
        <v/>
      </c>
      <c r="AE29" s="39" t="str">
        <f t="shared" si="5"/>
        <v/>
      </c>
      <c r="AF29" s="70">
        <v>7</v>
      </c>
      <c r="AG29" s="70">
        <v>9</v>
      </c>
      <c r="AH29" s="70">
        <v>6</v>
      </c>
      <c r="AI29" s="74">
        <v>7</v>
      </c>
      <c r="AJ29" s="73">
        <v>6</v>
      </c>
      <c r="AK29" s="73">
        <v>5</v>
      </c>
      <c r="AL29" s="50" cm="1">
        <f t="array" ref="AL29">IF(AND(AF29:AK29="AB"),"AB",SUM(AF29:AK29))</f>
        <v>40</v>
      </c>
      <c r="AM29" s="70">
        <v>18</v>
      </c>
      <c r="AN29" s="70">
        <v>18</v>
      </c>
      <c r="AO29" s="70">
        <v>19</v>
      </c>
      <c r="AP29" s="74">
        <v>18</v>
      </c>
      <c r="AQ29" s="73">
        <v>18</v>
      </c>
      <c r="AR29" s="73">
        <v>19</v>
      </c>
      <c r="AS29" s="73">
        <v>18</v>
      </c>
      <c r="AT29" s="73">
        <v>15</v>
      </c>
      <c r="AU29" s="73">
        <v>15</v>
      </c>
      <c r="AV29" s="73">
        <v>15</v>
      </c>
      <c r="AW29" s="40" cm="1">
        <f t="array" ref="AW29">IF(AND(AM29:AV29="AB"),"AB",AVERAGE(AM29:AV29))</f>
        <v>17.3</v>
      </c>
      <c r="AX29" s="70">
        <v>18</v>
      </c>
      <c r="AY29" s="37"/>
      <c r="AZ29" s="37"/>
    </row>
    <row r="30" spans="1:52" s="17" customFormat="1" ht="18" customHeight="1" x14ac:dyDescent="0.3">
      <c r="A30" s="61">
        <v>21</v>
      </c>
      <c r="B30" s="62">
        <v>21</v>
      </c>
      <c r="C30" s="63" t="s">
        <v>70</v>
      </c>
      <c r="D30" s="63">
        <v>1914361153</v>
      </c>
      <c r="E30" s="66" t="s">
        <v>144</v>
      </c>
      <c r="F30" s="65">
        <v>5</v>
      </c>
      <c r="G30" s="65">
        <v>6</v>
      </c>
      <c r="H30" s="65">
        <v>7</v>
      </c>
      <c r="I30" s="36" cm="1">
        <f t="array" ref="I30">IF(AND(F30:H30="AB"),"AB",SUM(F30:H30))</f>
        <v>18</v>
      </c>
      <c r="J30" s="65">
        <v>5</v>
      </c>
      <c r="K30" s="65">
        <v>6</v>
      </c>
      <c r="L30" s="65">
        <v>7</v>
      </c>
      <c r="M30" s="36" cm="1">
        <f t="array" ref="M30">IF(AND(J30:L30="AB"),"AB",SUM(J30:L30))</f>
        <v>18</v>
      </c>
      <c r="N30" s="69"/>
      <c r="O30" s="63"/>
      <c r="P30" s="63"/>
      <c r="Q30" s="63"/>
      <c r="R30" s="63"/>
      <c r="S30" s="63"/>
      <c r="T30" s="70"/>
      <c r="U30" s="74"/>
      <c r="V30" s="73"/>
      <c r="W30" s="73"/>
      <c r="X30" s="73"/>
      <c r="Y30" s="38" cm="1">
        <f t="array" ref="Y30">IF(AND(U30:X30="AB"),"AB",SUM(U30:X30))</f>
        <v>0</v>
      </c>
      <c r="Z30" s="39" t="str">
        <f t="shared" si="0"/>
        <v/>
      </c>
      <c r="AA30" s="39" t="str">
        <f t="shared" si="1"/>
        <v/>
      </c>
      <c r="AB30" s="39" t="str">
        <f t="shared" si="2"/>
        <v/>
      </c>
      <c r="AC30" s="39" t="str">
        <f t="shared" si="3"/>
        <v/>
      </c>
      <c r="AD30" s="39" t="str">
        <f t="shared" si="4"/>
        <v/>
      </c>
      <c r="AE30" s="39" t="str">
        <f t="shared" si="5"/>
        <v/>
      </c>
      <c r="AF30" s="70">
        <v>9</v>
      </c>
      <c r="AG30" s="70">
        <v>9</v>
      </c>
      <c r="AH30" s="70">
        <v>8</v>
      </c>
      <c r="AI30" s="74">
        <v>8</v>
      </c>
      <c r="AJ30" s="73">
        <v>5</v>
      </c>
      <c r="AK30" s="73">
        <v>5</v>
      </c>
      <c r="AL30" s="50" cm="1">
        <f t="array" ref="AL30">IF(AND(AF30:AK30="AB"),"AB",SUM(AF30:AK30))</f>
        <v>44</v>
      </c>
      <c r="AM30" s="70">
        <v>17</v>
      </c>
      <c r="AN30" s="70">
        <v>16</v>
      </c>
      <c r="AO30" s="70">
        <v>19</v>
      </c>
      <c r="AP30" s="74">
        <v>17</v>
      </c>
      <c r="AQ30" s="73">
        <v>16</v>
      </c>
      <c r="AR30" s="73">
        <v>19</v>
      </c>
      <c r="AS30" s="73">
        <v>20</v>
      </c>
      <c r="AT30" s="73">
        <v>19</v>
      </c>
      <c r="AU30" s="73">
        <v>19</v>
      </c>
      <c r="AV30" s="73">
        <v>19</v>
      </c>
      <c r="AW30" s="40" cm="1">
        <f t="array" ref="AW30">IF(AND(AM30:AV30="AB"),"AB",AVERAGE(AM30:AV30))</f>
        <v>18.100000000000001</v>
      </c>
      <c r="AX30" s="70">
        <v>17</v>
      </c>
      <c r="AY30" s="37"/>
      <c r="AZ30" s="37"/>
    </row>
    <row r="31" spans="1:52" s="17" customFormat="1" ht="18" customHeight="1" x14ac:dyDescent="0.3">
      <c r="A31" s="61">
        <v>22</v>
      </c>
      <c r="B31" s="62">
        <v>22</v>
      </c>
      <c r="C31" s="63" t="s">
        <v>71</v>
      </c>
      <c r="D31" s="63">
        <v>1914361154</v>
      </c>
      <c r="E31" s="66" t="s">
        <v>145</v>
      </c>
      <c r="F31" s="65">
        <v>4</v>
      </c>
      <c r="G31" s="65">
        <v>6</v>
      </c>
      <c r="H31" s="65">
        <v>7</v>
      </c>
      <c r="I31" s="36" cm="1">
        <f t="array" ref="I31">IF(AND(F31:H31="AB"),"AB",SUM(F31:H31))</f>
        <v>17</v>
      </c>
      <c r="J31" s="65">
        <v>4</v>
      </c>
      <c r="K31" s="65">
        <v>6</v>
      </c>
      <c r="L31" s="65">
        <v>7</v>
      </c>
      <c r="M31" s="36" cm="1">
        <f t="array" ref="M31">IF(AND(J31:L31="AB"),"AB",SUM(J31:L31))</f>
        <v>17</v>
      </c>
      <c r="N31" s="69"/>
      <c r="O31" s="63"/>
      <c r="P31" s="63"/>
      <c r="Q31" s="63"/>
      <c r="R31" s="63"/>
      <c r="S31" s="63"/>
      <c r="T31" s="70"/>
      <c r="U31" s="70"/>
      <c r="V31" s="70"/>
      <c r="W31" s="70"/>
      <c r="X31" s="70"/>
      <c r="Y31" s="38" cm="1">
        <f t="array" ref="Y31">IF(AND(U31:X31="AB"),"AB",SUM(U31:X31))</f>
        <v>0</v>
      </c>
      <c r="Z31" s="39" t="str">
        <f t="shared" si="0"/>
        <v/>
      </c>
      <c r="AA31" s="39" t="str">
        <f t="shared" si="1"/>
        <v/>
      </c>
      <c r="AB31" s="39" t="str">
        <f t="shared" si="2"/>
        <v/>
      </c>
      <c r="AC31" s="39" t="str">
        <f t="shared" si="3"/>
        <v/>
      </c>
      <c r="AD31" s="39" t="str">
        <f t="shared" si="4"/>
        <v/>
      </c>
      <c r="AE31" s="39" t="str">
        <f t="shared" si="5"/>
        <v/>
      </c>
      <c r="AF31" s="70">
        <v>4.5</v>
      </c>
      <c r="AG31" s="70">
        <v>5</v>
      </c>
      <c r="AH31" s="70">
        <v>2</v>
      </c>
      <c r="AI31" s="70">
        <v>3.5</v>
      </c>
      <c r="AJ31" s="70">
        <v>7.5</v>
      </c>
      <c r="AK31" s="70">
        <v>6</v>
      </c>
      <c r="AL31" s="50" cm="1">
        <f t="array" ref="AL31">IF(AND(AF31:AK31="AB"),"AB",SUM(AF31:AK31))</f>
        <v>28.5</v>
      </c>
      <c r="AM31" s="70">
        <v>19</v>
      </c>
      <c r="AN31" s="70">
        <v>16</v>
      </c>
      <c r="AO31" s="70">
        <v>20</v>
      </c>
      <c r="AP31" s="70">
        <v>19</v>
      </c>
      <c r="AQ31" s="70">
        <v>16</v>
      </c>
      <c r="AR31" s="70">
        <v>20</v>
      </c>
      <c r="AS31" s="70">
        <v>21</v>
      </c>
      <c r="AT31" s="70">
        <v>18</v>
      </c>
      <c r="AU31" s="73">
        <v>18</v>
      </c>
      <c r="AV31" s="73">
        <v>18</v>
      </c>
      <c r="AW31" s="40" cm="1">
        <f t="array" ref="AW31">IF(AND(AM31:AV31="AB"),"AB",AVERAGE(AM31:AV31))</f>
        <v>18.5</v>
      </c>
      <c r="AX31" s="70">
        <v>19</v>
      </c>
      <c r="AY31" s="37"/>
      <c r="AZ31" s="37"/>
    </row>
    <row r="32" spans="1:52" s="17" customFormat="1" ht="18" customHeight="1" x14ac:dyDescent="0.3">
      <c r="A32" s="61">
        <v>23</v>
      </c>
      <c r="B32" s="62">
        <v>23</v>
      </c>
      <c r="C32" s="63" t="s">
        <v>72</v>
      </c>
      <c r="D32" s="63">
        <v>1914361155</v>
      </c>
      <c r="E32" s="66" t="s">
        <v>146</v>
      </c>
      <c r="F32" s="65">
        <v>3</v>
      </c>
      <c r="G32" s="65">
        <v>6</v>
      </c>
      <c r="H32" s="65">
        <v>7</v>
      </c>
      <c r="I32" s="36" cm="1">
        <f t="array" ref="I32">IF(AND(F32:H32="AB"),"AB",SUM(F32:H32))</f>
        <v>16</v>
      </c>
      <c r="J32" s="65">
        <v>3</v>
      </c>
      <c r="K32" s="65">
        <v>6</v>
      </c>
      <c r="L32" s="65">
        <v>7</v>
      </c>
      <c r="M32" s="36" cm="1">
        <f t="array" ref="M32">IF(AND(J32:L32="AB"),"AB",SUM(J32:L32))</f>
        <v>16</v>
      </c>
      <c r="N32" s="69"/>
      <c r="O32" s="63"/>
      <c r="P32" s="63"/>
      <c r="Q32" s="63"/>
      <c r="R32" s="63"/>
      <c r="S32" s="63"/>
      <c r="T32" s="70"/>
      <c r="U32" s="74"/>
      <c r="V32" s="73"/>
      <c r="W32" s="73"/>
      <c r="X32" s="73"/>
      <c r="Y32" s="38" cm="1">
        <f t="array" ref="Y32">IF(AND(U32:X32="AB"),"AB",SUM(U32:X32))</f>
        <v>0</v>
      </c>
      <c r="Z32" s="39" t="str">
        <f t="shared" si="0"/>
        <v/>
      </c>
      <c r="AA32" s="39" t="str">
        <f t="shared" si="1"/>
        <v/>
      </c>
      <c r="AB32" s="39" t="str">
        <f t="shared" si="2"/>
        <v/>
      </c>
      <c r="AC32" s="39" t="str">
        <f t="shared" si="3"/>
        <v/>
      </c>
      <c r="AD32" s="39" t="str">
        <f t="shared" si="4"/>
        <v/>
      </c>
      <c r="AE32" s="39" t="str">
        <f t="shared" si="5"/>
        <v/>
      </c>
      <c r="AF32" s="70">
        <v>8</v>
      </c>
      <c r="AG32" s="70">
        <v>2.5</v>
      </c>
      <c r="AH32" s="70">
        <v>8.5</v>
      </c>
      <c r="AI32" s="74">
        <v>6</v>
      </c>
      <c r="AJ32" s="73">
        <v>7.5</v>
      </c>
      <c r="AK32" s="73">
        <v>6.5</v>
      </c>
      <c r="AL32" s="50" cm="1">
        <f t="array" ref="AL32">IF(AND(AF32:AK32="AB"),"AB",SUM(AF32:AK32))</f>
        <v>39</v>
      </c>
      <c r="AM32" s="70">
        <v>20</v>
      </c>
      <c r="AN32" s="70">
        <v>20</v>
      </c>
      <c r="AO32" s="70">
        <v>21</v>
      </c>
      <c r="AP32" s="74">
        <v>20</v>
      </c>
      <c r="AQ32" s="73">
        <v>20</v>
      </c>
      <c r="AR32" s="73">
        <v>21</v>
      </c>
      <c r="AS32" s="73">
        <v>20</v>
      </c>
      <c r="AT32" s="73">
        <v>18</v>
      </c>
      <c r="AU32" s="73">
        <v>18</v>
      </c>
      <c r="AV32" s="73">
        <v>18</v>
      </c>
      <c r="AW32" s="40" cm="1">
        <f t="array" ref="AW32">IF(AND(AM32:AV32="AB"),"AB",AVERAGE(AM32:AV32))</f>
        <v>19.600000000000001</v>
      </c>
      <c r="AX32" s="70">
        <v>20</v>
      </c>
      <c r="AY32" s="37"/>
      <c r="AZ32" s="37"/>
    </row>
    <row r="33" spans="1:52" s="17" customFormat="1" ht="18" customHeight="1" x14ac:dyDescent="0.3">
      <c r="A33" s="61">
        <v>24</v>
      </c>
      <c r="B33" s="62">
        <v>24</v>
      </c>
      <c r="C33" s="63" t="s">
        <v>73</v>
      </c>
      <c r="D33" s="63">
        <v>1914361156</v>
      </c>
      <c r="E33" s="66" t="s">
        <v>147</v>
      </c>
      <c r="F33" s="65">
        <v>2</v>
      </c>
      <c r="G33" s="65">
        <v>6</v>
      </c>
      <c r="H33" s="65">
        <v>7</v>
      </c>
      <c r="I33" s="36" cm="1">
        <f t="array" ref="I33">IF(AND(F33:H33="AB"),"AB",SUM(F33:H33))</f>
        <v>15</v>
      </c>
      <c r="J33" s="65">
        <v>2</v>
      </c>
      <c r="K33" s="65">
        <v>6</v>
      </c>
      <c r="L33" s="65">
        <v>7</v>
      </c>
      <c r="M33" s="36" cm="1">
        <f t="array" ref="M33">IF(AND(J33:L33="AB"),"AB",SUM(J33:L33))</f>
        <v>15</v>
      </c>
      <c r="N33" s="69"/>
      <c r="O33" s="63"/>
      <c r="P33" s="63"/>
      <c r="Q33" s="63"/>
      <c r="R33" s="63"/>
      <c r="S33" s="63"/>
      <c r="T33" s="70"/>
      <c r="U33" s="74"/>
      <c r="V33" s="73"/>
      <c r="W33" s="73"/>
      <c r="X33" s="73"/>
      <c r="Y33" s="38" cm="1">
        <f t="array" ref="Y33">IF(AND(U33:X33="AB"),"AB",SUM(U33:X33))</f>
        <v>0</v>
      </c>
      <c r="Z33" s="39" t="str">
        <f t="shared" si="0"/>
        <v/>
      </c>
      <c r="AA33" s="39" t="str">
        <f t="shared" si="1"/>
        <v/>
      </c>
      <c r="AB33" s="39" t="str">
        <f t="shared" si="2"/>
        <v/>
      </c>
      <c r="AC33" s="39" t="str">
        <f t="shared" si="3"/>
        <v/>
      </c>
      <c r="AD33" s="39" t="str">
        <f t="shared" si="4"/>
        <v/>
      </c>
      <c r="AE33" s="39" t="str">
        <f t="shared" si="5"/>
        <v/>
      </c>
      <c r="AF33" s="70">
        <v>6.5</v>
      </c>
      <c r="AG33" s="70">
        <v>8</v>
      </c>
      <c r="AH33" s="70">
        <v>3</v>
      </c>
      <c r="AI33" s="74">
        <v>0.5</v>
      </c>
      <c r="AJ33" s="73">
        <v>3.5</v>
      </c>
      <c r="AK33" s="73">
        <v>2</v>
      </c>
      <c r="AL33" s="50" cm="1">
        <f t="array" ref="AL33">IF(AND(AF33:AK33="AB"),"AB",SUM(AF33:AK33))</f>
        <v>23.5</v>
      </c>
      <c r="AM33" s="70" t="s">
        <v>10</v>
      </c>
      <c r="AN33" s="70" t="s">
        <v>10</v>
      </c>
      <c r="AO33" s="70" t="s">
        <v>10</v>
      </c>
      <c r="AP33" s="74" t="s">
        <v>10</v>
      </c>
      <c r="AQ33" s="73" t="s">
        <v>10</v>
      </c>
      <c r="AR33" s="73" t="s">
        <v>10</v>
      </c>
      <c r="AS33" s="73" t="s">
        <v>10</v>
      </c>
      <c r="AT33" s="73" t="s">
        <v>10</v>
      </c>
      <c r="AU33" s="73" t="s">
        <v>10</v>
      </c>
      <c r="AV33" s="73" t="s">
        <v>10</v>
      </c>
      <c r="AW33" s="40" t="str" cm="1">
        <f t="array" ref="AW33">IF(AND(AM33:AV33="AB"),"AB",AVERAGE(AM33:AV33))</f>
        <v>AB</v>
      </c>
      <c r="AX33" s="70">
        <v>14</v>
      </c>
      <c r="AY33" s="37"/>
      <c r="AZ33" s="37"/>
    </row>
    <row r="34" spans="1:52" s="17" customFormat="1" ht="18" customHeight="1" x14ac:dyDescent="0.3">
      <c r="A34" s="61">
        <v>25</v>
      </c>
      <c r="B34" s="62">
        <v>25</v>
      </c>
      <c r="C34" s="63" t="s">
        <v>74</v>
      </c>
      <c r="D34" s="63">
        <v>1914361157</v>
      </c>
      <c r="E34" s="66" t="s">
        <v>148</v>
      </c>
      <c r="F34" s="65">
        <v>1</v>
      </c>
      <c r="G34" s="65">
        <v>6</v>
      </c>
      <c r="H34" s="65">
        <v>7</v>
      </c>
      <c r="I34" s="36" cm="1">
        <f t="array" ref="I34">IF(AND(F34:H34="AB"),"AB",SUM(F34:H34))</f>
        <v>14</v>
      </c>
      <c r="J34" s="65">
        <v>1</v>
      </c>
      <c r="K34" s="65">
        <v>6</v>
      </c>
      <c r="L34" s="65">
        <v>7</v>
      </c>
      <c r="M34" s="36" cm="1">
        <f t="array" ref="M34">IF(AND(J34:L34="AB"),"AB",SUM(J34:L34))</f>
        <v>14</v>
      </c>
      <c r="N34" s="69"/>
      <c r="O34" s="63"/>
      <c r="P34" s="63"/>
      <c r="Q34" s="63"/>
      <c r="R34" s="63"/>
      <c r="S34" s="63"/>
      <c r="T34" s="70"/>
      <c r="U34" s="74"/>
      <c r="V34" s="73"/>
      <c r="W34" s="73"/>
      <c r="X34" s="73"/>
      <c r="Y34" s="38" cm="1">
        <f t="array" ref="Y34">IF(AND(U34:X34="AB"),"AB",SUM(U34:X34))</f>
        <v>0</v>
      </c>
      <c r="Z34" s="39" t="str">
        <f t="shared" si="0"/>
        <v/>
      </c>
      <c r="AA34" s="39" t="str">
        <f t="shared" si="1"/>
        <v/>
      </c>
      <c r="AB34" s="39" t="str">
        <f t="shared" si="2"/>
        <v/>
      </c>
      <c r="AC34" s="39" t="str">
        <f t="shared" si="3"/>
        <v/>
      </c>
      <c r="AD34" s="39" t="str">
        <f t="shared" si="4"/>
        <v/>
      </c>
      <c r="AE34" s="39" t="str">
        <f t="shared" si="5"/>
        <v/>
      </c>
      <c r="AF34" s="70">
        <v>5</v>
      </c>
      <c r="AG34" s="70">
        <v>10</v>
      </c>
      <c r="AH34" s="70">
        <v>5</v>
      </c>
      <c r="AI34" s="74">
        <v>8</v>
      </c>
      <c r="AJ34" s="73">
        <v>7</v>
      </c>
      <c r="AK34" s="73">
        <v>9</v>
      </c>
      <c r="AL34" s="50" cm="1">
        <f t="array" ref="AL34">IF(AND(AF34:AK34="AB"),"AB",SUM(AF34:AK34))</f>
        <v>44</v>
      </c>
      <c r="AM34" s="70">
        <v>23</v>
      </c>
      <c r="AN34" s="70">
        <v>19</v>
      </c>
      <c r="AO34" s="70">
        <v>15</v>
      </c>
      <c r="AP34" s="74">
        <v>23</v>
      </c>
      <c r="AQ34" s="73">
        <v>19</v>
      </c>
      <c r="AR34" s="73">
        <v>15</v>
      </c>
      <c r="AS34" s="73">
        <v>16</v>
      </c>
      <c r="AT34" s="73">
        <v>16</v>
      </c>
      <c r="AU34" s="73">
        <v>16</v>
      </c>
      <c r="AV34" s="73">
        <v>16</v>
      </c>
      <c r="AW34" s="40" cm="1">
        <f t="array" ref="AW34">IF(AND(AM34:AV34="AB"),"AB",AVERAGE(AM34:AV34))</f>
        <v>17.8</v>
      </c>
      <c r="AX34" s="70">
        <v>23</v>
      </c>
      <c r="AY34" s="37"/>
      <c r="AZ34" s="37"/>
    </row>
    <row r="35" spans="1:52" s="17" customFormat="1" ht="18" customHeight="1" x14ac:dyDescent="0.3">
      <c r="A35" s="61">
        <v>26</v>
      </c>
      <c r="B35" s="62">
        <v>26</v>
      </c>
      <c r="C35" s="63" t="s">
        <v>75</v>
      </c>
      <c r="D35" s="63">
        <v>1914361158</v>
      </c>
      <c r="E35" s="66" t="s">
        <v>149</v>
      </c>
      <c r="F35" s="65">
        <v>0</v>
      </c>
      <c r="G35" s="65">
        <v>6</v>
      </c>
      <c r="H35" s="65">
        <v>7</v>
      </c>
      <c r="I35" s="36" cm="1">
        <f t="array" ref="I35">IF(AND(F35:H35="AB"),"AB",SUM(F35:H35))</f>
        <v>13</v>
      </c>
      <c r="J35" s="65">
        <v>0</v>
      </c>
      <c r="K35" s="65">
        <v>6</v>
      </c>
      <c r="L35" s="65">
        <v>7</v>
      </c>
      <c r="M35" s="36" cm="1">
        <f t="array" ref="M35">IF(AND(J35:L35="AB"),"AB",SUM(J35:L35))</f>
        <v>13</v>
      </c>
      <c r="N35" s="69"/>
      <c r="O35" s="63"/>
      <c r="P35" s="63"/>
      <c r="Q35" s="63"/>
      <c r="R35" s="63"/>
      <c r="S35" s="63"/>
      <c r="T35" s="70"/>
      <c r="U35" s="74"/>
      <c r="V35" s="73"/>
      <c r="W35" s="73"/>
      <c r="X35" s="73"/>
      <c r="Y35" s="38" cm="1">
        <f t="array" ref="Y35">IF(AND(U35:X35="AB"),"AB",SUM(U35:X35))</f>
        <v>0</v>
      </c>
      <c r="Z35" s="39" t="str">
        <f t="shared" si="0"/>
        <v/>
      </c>
      <c r="AA35" s="39" t="str">
        <f t="shared" si="1"/>
        <v/>
      </c>
      <c r="AB35" s="39" t="str">
        <f t="shared" si="2"/>
        <v/>
      </c>
      <c r="AC35" s="39" t="str">
        <f t="shared" si="3"/>
        <v/>
      </c>
      <c r="AD35" s="39" t="str">
        <f t="shared" si="4"/>
        <v/>
      </c>
      <c r="AE35" s="39" t="str">
        <f t="shared" si="5"/>
        <v/>
      </c>
      <c r="AF35" s="70">
        <v>2</v>
      </c>
      <c r="AG35" s="70">
        <v>6</v>
      </c>
      <c r="AH35" s="70">
        <v>6</v>
      </c>
      <c r="AI35" s="74">
        <v>2</v>
      </c>
      <c r="AJ35" s="73">
        <v>3</v>
      </c>
      <c r="AK35" s="73">
        <v>5</v>
      </c>
      <c r="AL35" s="50" cm="1">
        <f t="array" ref="AL35">IF(AND(AF35:AK35="AB"),"AB",SUM(AF35:AK35))</f>
        <v>24</v>
      </c>
      <c r="AM35" s="70">
        <v>18</v>
      </c>
      <c r="AN35" s="70">
        <v>19</v>
      </c>
      <c r="AO35" s="70">
        <v>15</v>
      </c>
      <c r="AP35" s="74">
        <v>18</v>
      </c>
      <c r="AQ35" s="73">
        <v>19</v>
      </c>
      <c r="AR35" s="73">
        <v>15</v>
      </c>
      <c r="AS35" s="73">
        <v>18</v>
      </c>
      <c r="AT35" s="73">
        <v>18</v>
      </c>
      <c r="AU35" s="73">
        <v>18</v>
      </c>
      <c r="AV35" s="73">
        <v>18</v>
      </c>
      <c r="AW35" s="40" cm="1">
        <f t="array" ref="AW35">IF(AND(AM35:AV35="AB"),"AB",AVERAGE(AM35:AV35))</f>
        <v>17.600000000000001</v>
      </c>
      <c r="AX35" s="70">
        <v>18</v>
      </c>
      <c r="AY35" s="37"/>
      <c r="AZ35" s="37"/>
    </row>
    <row r="36" spans="1:52" s="17" customFormat="1" ht="18" customHeight="1" x14ac:dyDescent="0.3">
      <c r="A36" s="61">
        <v>27</v>
      </c>
      <c r="B36" s="62">
        <v>27</v>
      </c>
      <c r="C36" s="63" t="s">
        <v>76</v>
      </c>
      <c r="D36" s="63">
        <v>1914361159</v>
      </c>
      <c r="E36" s="66" t="s">
        <v>150</v>
      </c>
      <c r="F36" s="65" t="s">
        <v>10</v>
      </c>
      <c r="G36" s="65">
        <v>6</v>
      </c>
      <c r="H36" s="65">
        <v>7</v>
      </c>
      <c r="I36" s="36" cm="1">
        <f t="array" ref="I36">IF(AND(F36:H36="AB"),"AB",SUM(F36:H36))</f>
        <v>13</v>
      </c>
      <c r="J36" s="65" t="s">
        <v>10</v>
      </c>
      <c r="K36" s="65">
        <v>6</v>
      </c>
      <c r="L36" s="65">
        <v>7</v>
      </c>
      <c r="M36" s="36" cm="1">
        <f t="array" ref="M36">IF(AND(J36:L36="AB"),"AB",SUM(J36:L36))</f>
        <v>13</v>
      </c>
      <c r="N36" s="69"/>
      <c r="O36" s="63"/>
      <c r="P36" s="63"/>
      <c r="Q36" s="63"/>
      <c r="R36" s="63"/>
      <c r="S36" s="63"/>
      <c r="T36" s="70"/>
      <c r="U36" s="74"/>
      <c r="V36" s="73"/>
      <c r="W36" s="73"/>
      <c r="X36" s="73"/>
      <c r="Y36" s="38" cm="1">
        <f t="array" ref="Y36">IF(AND(U36:X36="AB"),"AB",SUM(U36:X36))</f>
        <v>0</v>
      </c>
      <c r="Z36" s="39" t="str">
        <f t="shared" si="0"/>
        <v/>
      </c>
      <c r="AA36" s="39" t="str">
        <f t="shared" si="1"/>
        <v/>
      </c>
      <c r="AB36" s="39" t="str">
        <f t="shared" si="2"/>
        <v/>
      </c>
      <c r="AC36" s="39" t="str">
        <f t="shared" si="3"/>
        <v/>
      </c>
      <c r="AD36" s="39" t="str">
        <f t="shared" si="4"/>
        <v/>
      </c>
      <c r="AE36" s="39" t="str">
        <f t="shared" si="5"/>
        <v/>
      </c>
      <c r="AF36" s="70">
        <v>7</v>
      </c>
      <c r="AG36" s="70">
        <v>8</v>
      </c>
      <c r="AH36" s="70">
        <v>4</v>
      </c>
      <c r="AI36" s="74">
        <v>0</v>
      </c>
      <c r="AJ36" s="73">
        <v>3</v>
      </c>
      <c r="AK36" s="73">
        <v>4</v>
      </c>
      <c r="AL36" s="50" cm="1">
        <f t="array" ref="AL36">IF(AND(AF36:AK36="AB"),"AB",SUM(AF36:AK36))</f>
        <v>26</v>
      </c>
      <c r="AM36" s="70">
        <v>21</v>
      </c>
      <c r="AN36" s="70">
        <v>20</v>
      </c>
      <c r="AO36" s="70">
        <v>19</v>
      </c>
      <c r="AP36" s="74">
        <v>21</v>
      </c>
      <c r="AQ36" s="73">
        <v>20</v>
      </c>
      <c r="AR36" s="73">
        <v>19</v>
      </c>
      <c r="AS36" s="73">
        <v>15</v>
      </c>
      <c r="AT36" s="73">
        <v>18</v>
      </c>
      <c r="AU36" s="73">
        <v>18</v>
      </c>
      <c r="AV36" s="73">
        <v>18</v>
      </c>
      <c r="AW36" s="40" cm="1">
        <f t="array" ref="AW36">IF(AND(AM36:AV36="AB"),"AB",AVERAGE(AM36:AV36))</f>
        <v>18.899999999999999</v>
      </c>
      <c r="AX36" s="70">
        <v>21</v>
      </c>
      <c r="AY36" s="37"/>
      <c r="AZ36" s="37"/>
    </row>
    <row r="37" spans="1:52" s="17" customFormat="1" ht="18" customHeight="1" x14ac:dyDescent="0.3">
      <c r="A37" s="61">
        <v>28</v>
      </c>
      <c r="B37" s="62">
        <v>28</v>
      </c>
      <c r="C37" s="63" t="s">
        <v>77</v>
      </c>
      <c r="D37" s="63">
        <v>1914361160</v>
      </c>
      <c r="E37" s="66" t="s">
        <v>151</v>
      </c>
      <c r="F37" s="65">
        <v>7</v>
      </c>
      <c r="G37" s="65">
        <v>6</v>
      </c>
      <c r="H37" s="65">
        <v>7</v>
      </c>
      <c r="I37" s="36" cm="1">
        <f t="array" ref="I37">IF(AND(F37:H37="AB"),"AB",SUM(F37:H37))</f>
        <v>20</v>
      </c>
      <c r="J37" s="65">
        <v>7</v>
      </c>
      <c r="K37" s="65">
        <v>6</v>
      </c>
      <c r="L37" s="65">
        <v>7</v>
      </c>
      <c r="M37" s="36" cm="1">
        <f t="array" ref="M37">IF(AND(J37:L37="AB"),"AB",SUM(J37:L37))</f>
        <v>20</v>
      </c>
      <c r="N37" s="69"/>
      <c r="O37" s="63"/>
      <c r="P37" s="63"/>
      <c r="Q37" s="63"/>
      <c r="R37" s="63"/>
      <c r="S37" s="63"/>
      <c r="T37" s="70"/>
      <c r="U37" s="74"/>
      <c r="V37" s="73"/>
      <c r="W37" s="73"/>
      <c r="X37" s="73"/>
      <c r="Y37" s="38" cm="1">
        <f t="array" ref="Y37">IF(AND(U37:X37="AB"),"AB",SUM(U37:X37))</f>
        <v>0</v>
      </c>
      <c r="Z37" s="39" t="str">
        <f t="shared" si="0"/>
        <v/>
      </c>
      <c r="AA37" s="39" t="str">
        <f t="shared" si="1"/>
        <v/>
      </c>
      <c r="AB37" s="39" t="str">
        <f t="shared" si="2"/>
        <v/>
      </c>
      <c r="AC37" s="39" t="str">
        <f t="shared" si="3"/>
        <v/>
      </c>
      <c r="AD37" s="39" t="str">
        <f t="shared" si="4"/>
        <v/>
      </c>
      <c r="AE37" s="39" t="str">
        <f t="shared" si="5"/>
        <v/>
      </c>
      <c r="AF37" s="70">
        <v>2</v>
      </c>
      <c r="AG37" s="70">
        <v>0</v>
      </c>
      <c r="AH37" s="70">
        <v>0</v>
      </c>
      <c r="AI37" s="74">
        <v>0</v>
      </c>
      <c r="AJ37" s="73">
        <v>0</v>
      </c>
      <c r="AK37" s="73">
        <v>0</v>
      </c>
      <c r="AL37" s="50" cm="1">
        <f t="array" ref="AL37">IF(AND(AF37:AK37="AB"),"AB",SUM(AF37:AK37))</f>
        <v>2</v>
      </c>
      <c r="AM37" s="70">
        <v>22</v>
      </c>
      <c r="AN37" s="70">
        <v>21</v>
      </c>
      <c r="AO37" s="70">
        <v>18</v>
      </c>
      <c r="AP37" s="74">
        <v>22</v>
      </c>
      <c r="AQ37" s="73">
        <v>21</v>
      </c>
      <c r="AR37" s="73">
        <v>18</v>
      </c>
      <c r="AS37" s="73">
        <v>15</v>
      </c>
      <c r="AT37" s="73">
        <v>15</v>
      </c>
      <c r="AU37" s="73">
        <v>15</v>
      </c>
      <c r="AV37" s="73">
        <v>15</v>
      </c>
      <c r="AW37" s="40" cm="1">
        <f t="array" ref="AW37">IF(AND(AM37:AV37="AB"),"AB",AVERAGE(AM37:AV37))</f>
        <v>18.2</v>
      </c>
      <c r="AX37" s="70">
        <v>22</v>
      </c>
      <c r="AY37" s="37"/>
      <c r="AZ37" s="37"/>
    </row>
    <row r="38" spans="1:52" s="17" customFormat="1" ht="18" customHeight="1" x14ac:dyDescent="0.3">
      <c r="A38" s="61">
        <v>29</v>
      </c>
      <c r="B38" s="62">
        <v>29</v>
      </c>
      <c r="C38" s="63" t="s">
        <v>78</v>
      </c>
      <c r="D38" s="63">
        <v>1914361161</v>
      </c>
      <c r="E38" s="66" t="s">
        <v>152</v>
      </c>
      <c r="F38" s="65">
        <v>6</v>
      </c>
      <c r="G38" s="65">
        <v>6</v>
      </c>
      <c r="H38" s="65">
        <v>7</v>
      </c>
      <c r="I38" s="36" cm="1">
        <f t="array" ref="I38">IF(AND(F38:H38="AB"),"AB",SUM(F38:H38))</f>
        <v>19</v>
      </c>
      <c r="J38" s="65">
        <v>6</v>
      </c>
      <c r="K38" s="65">
        <v>6</v>
      </c>
      <c r="L38" s="65">
        <v>7</v>
      </c>
      <c r="M38" s="36" cm="1">
        <f t="array" ref="M38">IF(AND(J38:L38="AB"),"AB",SUM(J38:L38))</f>
        <v>19</v>
      </c>
      <c r="N38" s="69"/>
      <c r="O38" s="63"/>
      <c r="P38" s="63"/>
      <c r="Q38" s="63"/>
      <c r="R38" s="63"/>
      <c r="S38" s="63"/>
      <c r="T38" s="70"/>
      <c r="U38" s="74"/>
      <c r="V38" s="73"/>
      <c r="W38" s="73"/>
      <c r="X38" s="73"/>
      <c r="Y38" s="38" cm="1">
        <f t="array" ref="Y38">IF(AND(U38:X38="AB"),"AB",SUM(U38:X38))</f>
        <v>0</v>
      </c>
      <c r="Z38" s="39" t="str">
        <f t="shared" si="0"/>
        <v/>
      </c>
      <c r="AA38" s="39" t="str">
        <f t="shared" si="1"/>
        <v/>
      </c>
      <c r="AB38" s="39" t="str">
        <f t="shared" si="2"/>
        <v/>
      </c>
      <c r="AC38" s="39" t="str">
        <f t="shared" si="3"/>
        <v/>
      </c>
      <c r="AD38" s="39" t="str">
        <f t="shared" si="4"/>
        <v/>
      </c>
      <c r="AE38" s="39" t="str">
        <f t="shared" si="5"/>
        <v/>
      </c>
      <c r="AF38" s="70" t="s">
        <v>10</v>
      </c>
      <c r="AG38" s="70" t="s">
        <v>10</v>
      </c>
      <c r="AH38" s="70" t="s">
        <v>10</v>
      </c>
      <c r="AI38" s="74" t="s">
        <v>10</v>
      </c>
      <c r="AJ38" s="73" t="s">
        <v>10</v>
      </c>
      <c r="AK38" s="73" t="s">
        <v>10</v>
      </c>
      <c r="AL38" s="50" t="str" cm="1">
        <f t="array" ref="AL38">IF(AND(AF38:AK38="AB"),"AB",SUM(AF38:AK38))</f>
        <v>AB</v>
      </c>
      <c r="AM38" s="70">
        <v>24</v>
      </c>
      <c r="AN38" s="70">
        <v>21</v>
      </c>
      <c r="AO38" s="70">
        <v>18</v>
      </c>
      <c r="AP38" s="74">
        <v>24</v>
      </c>
      <c r="AQ38" s="73">
        <v>21</v>
      </c>
      <c r="AR38" s="73">
        <v>18</v>
      </c>
      <c r="AS38" s="73">
        <v>19</v>
      </c>
      <c r="AT38" s="73">
        <v>20</v>
      </c>
      <c r="AU38" s="73">
        <v>20</v>
      </c>
      <c r="AV38" s="73">
        <v>20</v>
      </c>
      <c r="AW38" s="40" cm="1">
        <f t="array" ref="AW38">IF(AND(AM38:AV38="AB"),"AB",AVERAGE(AM38:AV38))</f>
        <v>20.5</v>
      </c>
      <c r="AX38" s="70">
        <v>24</v>
      </c>
      <c r="AY38" s="37"/>
      <c r="AZ38" s="37"/>
    </row>
    <row r="39" spans="1:52" s="17" customFormat="1" ht="18" customHeight="1" x14ac:dyDescent="0.3">
      <c r="A39" s="61">
        <v>30</v>
      </c>
      <c r="B39" s="62">
        <v>30</v>
      </c>
      <c r="C39" s="63" t="s">
        <v>79</v>
      </c>
      <c r="D39" s="63">
        <v>1914361162</v>
      </c>
      <c r="E39" s="66" t="s">
        <v>153</v>
      </c>
      <c r="F39" s="65">
        <v>5</v>
      </c>
      <c r="G39" s="65">
        <v>6</v>
      </c>
      <c r="H39" s="65">
        <v>7</v>
      </c>
      <c r="I39" s="36" cm="1">
        <f t="array" ref="I39">IF(AND(F39:H39="AB"),"AB",SUM(F39:H39))</f>
        <v>18</v>
      </c>
      <c r="J39" s="65">
        <v>5</v>
      </c>
      <c r="K39" s="65">
        <v>6</v>
      </c>
      <c r="L39" s="65">
        <v>7</v>
      </c>
      <c r="M39" s="36" cm="1">
        <f t="array" ref="M39">IF(AND(J39:L39="AB"),"AB",SUM(J39:L39))</f>
        <v>18</v>
      </c>
      <c r="N39" s="69"/>
      <c r="O39" s="63"/>
      <c r="P39" s="63"/>
      <c r="Q39" s="63"/>
      <c r="R39" s="63"/>
      <c r="S39" s="63"/>
      <c r="T39" s="70"/>
      <c r="U39" s="74"/>
      <c r="V39" s="73"/>
      <c r="W39" s="73"/>
      <c r="X39" s="73"/>
      <c r="Y39" s="38" cm="1">
        <f t="array" ref="Y39">IF(AND(U39:X39="AB"),"AB",SUM(U39:X39))</f>
        <v>0</v>
      </c>
      <c r="Z39" s="39" t="str">
        <f t="shared" si="0"/>
        <v/>
      </c>
      <c r="AA39" s="39" t="str">
        <f t="shared" si="1"/>
        <v/>
      </c>
      <c r="AB39" s="39" t="str">
        <f t="shared" si="2"/>
        <v/>
      </c>
      <c r="AC39" s="39" t="str">
        <f t="shared" si="3"/>
        <v/>
      </c>
      <c r="AD39" s="39" t="str">
        <f t="shared" si="4"/>
        <v/>
      </c>
      <c r="AE39" s="39" t="str">
        <f t="shared" si="5"/>
        <v/>
      </c>
      <c r="AF39" s="70">
        <v>1.5</v>
      </c>
      <c r="AG39" s="70">
        <v>1</v>
      </c>
      <c r="AH39" s="70">
        <v>4.5</v>
      </c>
      <c r="AI39" s="74">
        <v>6</v>
      </c>
      <c r="AJ39" s="73">
        <v>7</v>
      </c>
      <c r="AK39" s="73">
        <v>6</v>
      </c>
      <c r="AL39" s="50" cm="1">
        <f t="array" ref="AL39">IF(AND(AF39:AK39="AB"),"AB",SUM(AF39:AK39))</f>
        <v>26</v>
      </c>
      <c r="AM39" s="70" t="s">
        <v>10</v>
      </c>
      <c r="AN39" s="70" t="s">
        <v>10</v>
      </c>
      <c r="AO39" s="70" t="s">
        <v>10</v>
      </c>
      <c r="AP39" s="74" t="s">
        <v>10</v>
      </c>
      <c r="AQ39" s="73" t="s">
        <v>10</v>
      </c>
      <c r="AR39" s="73" t="s">
        <v>10</v>
      </c>
      <c r="AS39" s="73" t="s">
        <v>10</v>
      </c>
      <c r="AT39" s="73" t="s">
        <v>10</v>
      </c>
      <c r="AU39" s="73" t="s">
        <v>10</v>
      </c>
      <c r="AV39" s="73" t="s">
        <v>10</v>
      </c>
      <c r="AW39" s="40" t="str" cm="1">
        <f t="array" ref="AW39">IF(AND(AM39:AV39="AB"),"AB",AVERAGE(AM39:AV39))</f>
        <v>AB</v>
      </c>
      <c r="AX39" s="70">
        <v>18</v>
      </c>
      <c r="AY39" s="37"/>
      <c r="AZ39" s="37"/>
    </row>
    <row r="40" spans="1:52" s="17" customFormat="1" ht="18" customHeight="1" x14ac:dyDescent="0.3">
      <c r="A40" s="61">
        <v>31</v>
      </c>
      <c r="B40" s="62">
        <v>31</v>
      </c>
      <c r="C40" s="63" t="s">
        <v>80</v>
      </c>
      <c r="D40" s="63">
        <v>1914361163</v>
      </c>
      <c r="E40" s="66" t="s">
        <v>154</v>
      </c>
      <c r="F40" s="65">
        <v>4</v>
      </c>
      <c r="G40" s="65">
        <v>6</v>
      </c>
      <c r="H40" s="65">
        <v>7</v>
      </c>
      <c r="I40" s="36" cm="1">
        <f t="array" ref="I40">IF(AND(F40:H40="AB"),"AB",SUM(F40:H40))</f>
        <v>17</v>
      </c>
      <c r="J40" s="65">
        <v>4</v>
      </c>
      <c r="K40" s="65">
        <v>6</v>
      </c>
      <c r="L40" s="65">
        <v>7</v>
      </c>
      <c r="M40" s="36" cm="1">
        <f t="array" ref="M40">IF(AND(J40:L40="AB"),"AB",SUM(J40:L40))</f>
        <v>17</v>
      </c>
      <c r="N40" s="69"/>
      <c r="O40" s="63"/>
      <c r="P40" s="63"/>
      <c r="Q40" s="63"/>
      <c r="R40" s="63"/>
      <c r="S40" s="63"/>
      <c r="T40" s="70"/>
      <c r="U40" s="74"/>
      <c r="V40" s="73"/>
      <c r="W40" s="73"/>
      <c r="X40" s="73"/>
      <c r="Y40" s="38" cm="1">
        <f t="array" ref="Y40">IF(AND(U40:X40="AB"),"AB",SUM(U40:X40))</f>
        <v>0</v>
      </c>
      <c r="Z40" s="39" t="str">
        <f t="shared" si="0"/>
        <v/>
      </c>
      <c r="AA40" s="39" t="str">
        <f t="shared" si="1"/>
        <v/>
      </c>
      <c r="AB40" s="39" t="str">
        <f t="shared" si="2"/>
        <v/>
      </c>
      <c r="AC40" s="39" t="str">
        <f t="shared" si="3"/>
        <v/>
      </c>
      <c r="AD40" s="39" t="str">
        <f t="shared" si="4"/>
        <v/>
      </c>
      <c r="AE40" s="39" t="str">
        <f t="shared" si="5"/>
        <v/>
      </c>
      <c r="AF40" s="70">
        <v>2.5</v>
      </c>
      <c r="AG40" s="70">
        <v>0</v>
      </c>
      <c r="AH40" s="70">
        <v>0.5</v>
      </c>
      <c r="AI40" s="74">
        <v>1</v>
      </c>
      <c r="AJ40" s="73">
        <v>6</v>
      </c>
      <c r="AK40" s="73">
        <v>4</v>
      </c>
      <c r="AL40" s="50" cm="1">
        <f t="array" ref="AL40">IF(AND(AF40:AK40="AB"),"AB",SUM(AF40:AK40))</f>
        <v>14</v>
      </c>
      <c r="AM40" s="70">
        <v>18</v>
      </c>
      <c r="AN40" s="70">
        <v>15</v>
      </c>
      <c r="AO40" s="70">
        <v>16</v>
      </c>
      <c r="AP40" s="74">
        <v>18</v>
      </c>
      <c r="AQ40" s="73">
        <v>15</v>
      </c>
      <c r="AR40" s="73">
        <v>16</v>
      </c>
      <c r="AS40" s="73">
        <v>17</v>
      </c>
      <c r="AT40" s="73">
        <v>19</v>
      </c>
      <c r="AU40" s="73">
        <v>19</v>
      </c>
      <c r="AV40" s="73">
        <v>19</v>
      </c>
      <c r="AW40" s="40" cm="1">
        <f t="array" ref="AW40">IF(AND(AM40:AV40="AB"),"AB",AVERAGE(AM40:AV40))</f>
        <v>17.2</v>
      </c>
      <c r="AX40" s="70">
        <v>18</v>
      </c>
      <c r="AY40" s="37"/>
      <c r="AZ40" s="37"/>
    </row>
    <row r="41" spans="1:52" s="17" customFormat="1" ht="18" customHeight="1" x14ac:dyDescent="0.3">
      <c r="A41" s="61">
        <v>32</v>
      </c>
      <c r="B41" s="62">
        <v>32</v>
      </c>
      <c r="C41" s="63" t="s">
        <v>81</v>
      </c>
      <c r="D41" s="63">
        <v>1914361164</v>
      </c>
      <c r="E41" s="66" t="s">
        <v>155</v>
      </c>
      <c r="F41" s="65">
        <v>3</v>
      </c>
      <c r="G41" s="65">
        <v>6</v>
      </c>
      <c r="H41" s="65">
        <v>7</v>
      </c>
      <c r="I41" s="36" cm="1">
        <f t="array" ref="I41">IF(AND(F41:H41="AB"),"AB",SUM(F41:H41))</f>
        <v>16</v>
      </c>
      <c r="J41" s="65">
        <v>3</v>
      </c>
      <c r="K41" s="65">
        <v>6</v>
      </c>
      <c r="L41" s="65">
        <v>7</v>
      </c>
      <c r="M41" s="36" cm="1">
        <f t="array" ref="M41">IF(AND(J41:L41="AB"),"AB",SUM(J41:L41))</f>
        <v>16</v>
      </c>
      <c r="N41" s="69"/>
      <c r="O41" s="63"/>
      <c r="P41" s="63"/>
      <c r="Q41" s="63"/>
      <c r="R41" s="63"/>
      <c r="S41" s="63"/>
      <c r="T41" s="70"/>
      <c r="U41" s="74"/>
      <c r="V41" s="73"/>
      <c r="W41" s="73"/>
      <c r="X41" s="73"/>
      <c r="Y41" s="38" cm="1">
        <f t="array" ref="Y41">IF(AND(U41:X41="AB"),"AB",SUM(U41:X41))</f>
        <v>0</v>
      </c>
      <c r="Z41" s="39" t="str">
        <f t="shared" si="0"/>
        <v/>
      </c>
      <c r="AA41" s="39" t="str">
        <f t="shared" si="1"/>
        <v/>
      </c>
      <c r="AB41" s="39" t="str">
        <f t="shared" si="2"/>
        <v/>
      </c>
      <c r="AC41" s="39" t="str">
        <f t="shared" si="3"/>
        <v/>
      </c>
      <c r="AD41" s="39" t="str">
        <f t="shared" si="4"/>
        <v/>
      </c>
      <c r="AE41" s="39" t="str">
        <f t="shared" si="5"/>
        <v/>
      </c>
      <c r="AF41" s="70">
        <v>1</v>
      </c>
      <c r="AG41" s="70">
        <v>0</v>
      </c>
      <c r="AH41" s="70">
        <v>0</v>
      </c>
      <c r="AI41" s="74">
        <v>0</v>
      </c>
      <c r="AJ41" s="73">
        <v>0</v>
      </c>
      <c r="AK41" s="73">
        <v>3</v>
      </c>
      <c r="AL41" s="50" cm="1">
        <f t="array" ref="AL41">IF(AND(AF41:AK41="AB"),"AB",SUM(AF41:AK41))</f>
        <v>4</v>
      </c>
      <c r="AM41" s="70">
        <v>20</v>
      </c>
      <c r="AN41" s="70">
        <v>19</v>
      </c>
      <c r="AO41" s="70">
        <v>18</v>
      </c>
      <c r="AP41" s="74">
        <v>20</v>
      </c>
      <c r="AQ41" s="73">
        <v>19</v>
      </c>
      <c r="AR41" s="73">
        <v>18</v>
      </c>
      <c r="AS41" s="73">
        <v>17</v>
      </c>
      <c r="AT41" s="73">
        <v>20</v>
      </c>
      <c r="AU41" s="73">
        <v>20</v>
      </c>
      <c r="AV41" s="73">
        <v>20</v>
      </c>
      <c r="AW41" s="40" cm="1">
        <f t="array" ref="AW41">IF(AND(AM41:AV41="AB"),"AB",AVERAGE(AM41:AV41))</f>
        <v>19.100000000000001</v>
      </c>
      <c r="AX41" s="70">
        <v>20</v>
      </c>
      <c r="AY41" s="37"/>
      <c r="AZ41" s="37"/>
    </row>
    <row r="42" spans="1:52" s="17" customFormat="1" ht="18" customHeight="1" x14ac:dyDescent="0.3">
      <c r="A42" s="61">
        <v>33</v>
      </c>
      <c r="B42" s="62">
        <v>33</v>
      </c>
      <c r="C42" s="63" t="s">
        <v>82</v>
      </c>
      <c r="D42" s="63">
        <v>1914361165</v>
      </c>
      <c r="E42" s="66" t="s">
        <v>156</v>
      </c>
      <c r="F42" s="65">
        <v>2</v>
      </c>
      <c r="G42" s="65">
        <v>6</v>
      </c>
      <c r="H42" s="65">
        <v>7</v>
      </c>
      <c r="I42" s="36" cm="1">
        <f t="array" ref="I42">IF(AND(F42:H42="AB"),"AB",SUM(F42:H42))</f>
        <v>15</v>
      </c>
      <c r="J42" s="65">
        <v>2</v>
      </c>
      <c r="K42" s="65">
        <v>6</v>
      </c>
      <c r="L42" s="65">
        <v>7</v>
      </c>
      <c r="M42" s="36" cm="1">
        <f t="array" ref="M42">IF(AND(J42:L42="AB"),"AB",SUM(J42:L42))</f>
        <v>15</v>
      </c>
      <c r="N42" s="69"/>
      <c r="O42" s="63"/>
      <c r="P42" s="63"/>
      <c r="Q42" s="63"/>
      <c r="R42" s="63"/>
      <c r="S42" s="63"/>
      <c r="T42" s="70"/>
      <c r="U42" s="74"/>
      <c r="V42" s="73"/>
      <c r="W42" s="73"/>
      <c r="X42" s="73"/>
      <c r="Y42" s="38" cm="1">
        <f t="array" ref="Y42">IF(AND(U42:X42="AB"),"AB",SUM(U42:X42))</f>
        <v>0</v>
      </c>
      <c r="Z42" s="39" t="str">
        <f t="shared" si="0"/>
        <v/>
      </c>
      <c r="AA42" s="39" t="str">
        <f t="shared" si="1"/>
        <v/>
      </c>
      <c r="AB42" s="39" t="str">
        <f t="shared" si="2"/>
        <v/>
      </c>
      <c r="AC42" s="39" t="str">
        <f t="shared" si="3"/>
        <v/>
      </c>
      <c r="AD42" s="39" t="str">
        <f t="shared" si="4"/>
        <v/>
      </c>
      <c r="AE42" s="39" t="str">
        <f t="shared" si="5"/>
        <v/>
      </c>
      <c r="AF42" s="70">
        <v>8</v>
      </c>
      <c r="AG42" s="70">
        <v>8</v>
      </c>
      <c r="AH42" s="70">
        <v>6</v>
      </c>
      <c r="AI42" s="74">
        <v>8</v>
      </c>
      <c r="AJ42" s="73">
        <v>9</v>
      </c>
      <c r="AK42" s="73">
        <v>9</v>
      </c>
      <c r="AL42" s="50" cm="1">
        <f t="array" ref="AL42">IF(AND(AF42:AK42="AB"),"AB",SUM(AF42:AK42))</f>
        <v>48</v>
      </c>
      <c r="AM42" s="70">
        <v>21</v>
      </c>
      <c r="AN42" s="70">
        <v>18</v>
      </c>
      <c r="AO42" s="70">
        <v>18</v>
      </c>
      <c r="AP42" s="74">
        <v>21</v>
      </c>
      <c r="AQ42" s="73">
        <v>18</v>
      </c>
      <c r="AR42" s="73">
        <v>18</v>
      </c>
      <c r="AS42" s="73">
        <v>16</v>
      </c>
      <c r="AT42" s="73">
        <v>17</v>
      </c>
      <c r="AU42" s="73">
        <v>17</v>
      </c>
      <c r="AV42" s="73">
        <v>17</v>
      </c>
      <c r="AW42" s="40" cm="1">
        <f t="array" ref="AW42">IF(AND(AM42:AV42="AB"),"AB",AVERAGE(AM42:AV42))</f>
        <v>18.100000000000001</v>
      </c>
      <c r="AX42" s="70">
        <v>21</v>
      </c>
      <c r="AY42" s="37"/>
      <c r="AZ42" s="37"/>
    </row>
    <row r="43" spans="1:52" s="17" customFormat="1" ht="18" customHeight="1" x14ac:dyDescent="0.3">
      <c r="A43" s="61">
        <v>34</v>
      </c>
      <c r="B43" s="62">
        <v>34</v>
      </c>
      <c r="C43" s="63" t="s">
        <v>83</v>
      </c>
      <c r="D43" s="63">
        <v>1914361166</v>
      </c>
      <c r="E43" s="66" t="s">
        <v>157</v>
      </c>
      <c r="F43" s="65">
        <v>1</v>
      </c>
      <c r="G43" s="65">
        <v>6</v>
      </c>
      <c r="H43" s="65">
        <v>7</v>
      </c>
      <c r="I43" s="36" cm="1">
        <f t="array" ref="I43">IF(AND(F43:H43="AB"),"AB",SUM(F43:H43))</f>
        <v>14</v>
      </c>
      <c r="J43" s="65">
        <v>1</v>
      </c>
      <c r="K43" s="65">
        <v>6</v>
      </c>
      <c r="L43" s="65">
        <v>7</v>
      </c>
      <c r="M43" s="36" cm="1">
        <f t="array" ref="M43">IF(AND(J43:L43="AB"),"AB",SUM(J43:L43))</f>
        <v>14</v>
      </c>
      <c r="N43" s="69"/>
      <c r="O43" s="63"/>
      <c r="P43" s="63"/>
      <c r="Q43" s="63"/>
      <c r="R43" s="63"/>
      <c r="S43" s="63"/>
      <c r="T43" s="70"/>
      <c r="U43" s="74"/>
      <c r="V43" s="73"/>
      <c r="W43" s="73"/>
      <c r="X43" s="73"/>
      <c r="Y43" s="38" cm="1">
        <f t="array" ref="Y43">IF(AND(U43:X43="AB"),"AB",SUM(U43:X43))</f>
        <v>0</v>
      </c>
      <c r="Z43" s="39" t="str">
        <f t="shared" si="0"/>
        <v/>
      </c>
      <c r="AA43" s="39" t="str">
        <f t="shared" si="1"/>
        <v/>
      </c>
      <c r="AB43" s="39" t="str">
        <f t="shared" si="2"/>
        <v/>
      </c>
      <c r="AC43" s="39" t="str">
        <f t="shared" si="3"/>
        <v/>
      </c>
      <c r="AD43" s="39" t="str">
        <f t="shared" si="4"/>
        <v/>
      </c>
      <c r="AE43" s="39" t="str">
        <f t="shared" si="5"/>
        <v/>
      </c>
      <c r="AF43" s="70">
        <v>9</v>
      </c>
      <c r="AG43" s="70">
        <v>9</v>
      </c>
      <c r="AH43" s="70">
        <v>8</v>
      </c>
      <c r="AI43" s="74">
        <v>8</v>
      </c>
      <c r="AJ43" s="73">
        <v>9</v>
      </c>
      <c r="AK43" s="73">
        <v>9</v>
      </c>
      <c r="AL43" s="50" cm="1">
        <f t="array" ref="AL43">IF(AND(AF43:AK43="AB"),"AB",SUM(AF43:AK43))</f>
        <v>52</v>
      </c>
      <c r="AM43" s="70">
        <v>20</v>
      </c>
      <c r="AN43" s="70">
        <v>18</v>
      </c>
      <c r="AO43" s="70">
        <v>15</v>
      </c>
      <c r="AP43" s="74">
        <v>20</v>
      </c>
      <c r="AQ43" s="73">
        <v>18</v>
      </c>
      <c r="AR43" s="73">
        <v>15</v>
      </c>
      <c r="AS43" s="73">
        <v>18</v>
      </c>
      <c r="AT43" s="73">
        <v>18</v>
      </c>
      <c r="AU43" s="73">
        <v>18</v>
      </c>
      <c r="AV43" s="73">
        <v>18</v>
      </c>
      <c r="AW43" s="40" cm="1">
        <f t="array" ref="AW43">IF(AND(AM43:AV43="AB"),"AB",AVERAGE(AM43:AV43))</f>
        <v>17.8</v>
      </c>
      <c r="AX43" s="70">
        <v>20</v>
      </c>
      <c r="AY43" s="37"/>
      <c r="AZ43" s="37"/>
    </row>
    <row r="44" spans="1:52" s="17" customFormat="1" ht="18" customHeight="1" x14ac:dyDescent="0.3">
      <c r="A44" s="61">
        <v>35</v>
      </c>
      <c r="B44" s="62">
        <v>35</v>
      </c>
      <c r="C44" s="63" t="s">
        <v>84</v>
      </c>
      <c r="D44" s="63">
        <v>1914361167</v>
      </c>
      <c r="E44" s="66" t="s">
        <v>158</v>
      </c>
      <c r="F44" s="65">
        <v>0</v>
      </c>
      <c r="G44" s="65">
        <v>6</v>
      </c>
      <c r="H44" s="65">
        <v>7</v>
      </c>
      <c r="I44" s="36" cm="1">
        <f t="array" ref="I44">IF(AND(F44:H44="AB"),"AB",SUM(F44:H44))</f>
        <v>13</v>
      </c>
      <c r="J44" s="65">
        <v>0</v>
      </c>
      <c r="K44" s="65">
        <v>6</v>
      </c>
      <c r="L44" s="65">
        <v>7</v>
      </c>
      <c r="M44" s="36" cm="1">
        <f t="array" ref="M44">IF(AND(J44:L44="AB"),"AB",SUM(J44:L44))</f>
        <v>13</v>
      </c>
      <c r="N44" s="69"/>
      <c r="O44" s="63"/>
      <c r="P44" s="63"/>
      <c r="Q44" s="63"/>
      <c r="R44" s="63"/>
      <c r="S44" s="63"/>
      <c r="T44" s="70"/>
      <c r="U44" s="74"/>
      <c r="V44" s="73"/>
      <c r="W44" s="73"/>
      <c r="X44" s="73"/>
      <c r="Y44" s="38" cm="1">
        <f t="array" ref="Y44">IF(AND(U44:X44="AB"),"AB",SUM(U44:X44))</f>
        <v>0</v>
      </c>
      <c r="Z44" s="39" t="str">
        <f t="shared" si="0"/>
        <v/>
      </c>
      <c r="AA44" s="39" t="str">
        <f t="shared" si="1"/>
        <v/>
      </c>
      <c r="AB44" s="39" t="str">
        <f t="shared" si="2"/>
        <v/>
      </c>
      <c r="AC44" s="39" t="str">
        <f t="shared" si="3"/>
        <v/>
      </c>
      <c r="AD44" s="39" t="str">
        <f t="shared" si="4"/>
        <v/>
      </c>
      <c r="AE44" s="39" t="str">
        <f t="shared" si="5"/>
        <v/>
      </c>
      <c r="AF44" s="70">
        <v>7</v>
      </c>
      <c r="AG44" s="70">
        <v>8</v>
      </c>
      <c r="AH44" s="70">
        <v>8</v>
      </c>
      <c r="AI44" s="74">
        <v>4</v>
      </c>
      <c r="AJ44" s="73">
        <v>7</v>
      </c>
      <c r="AK44" s="73">
        <v>8</v>
      </c>
      <c r="AL44" s="50" cm="1">
        <f t="array" ref="AL44">IF(AND(AF44:AK44="AB"),"AB",SUM(AF44:AK44))</f>
        <v>42</v>
      </c>
      <c r="AM44" s="70">
        <v>17</v>
      </c>
      <c r="AN44" s="70">
        <v>15</v>
      </c>
      <c r="AO44" s="70">
        <v>20</v>
      </c>
      <c r="AP44" s="74">
        <v>17</v>
      </c>
      <c r="AQ44" s="73">
        <v>15</v>
      </c>
      <c r="AR44" s="73">
        <v>20</v>
      </c>
      <c r="AS44" s="73">
        <v>10</v>
      </c>
      <c r="AT44" s="73">
        <v>10</v>
      </c>
      <c r="AU44" s="73">
        <v>10</v>
      </c>
      <c r="AV44" s="73">
        <v>10</v>
      </c>
      <c r="AW44" s="40" cm="1">
        <f t="array" ref="AW44">IF(AND(AM44:AV44="AB"),"AB",AVERAGE(AM44:AV44))</f>
        <v>14.4</v>
      </c>
      <c r="AX44" s="70">
        <v>17</v>
      </c>
      <c r="AY44" s="37"/>
      <c r="AZ44" s="37"/>
    </row>
    <row r="45" spans="1:52" s="17" customFormat="1" ht="18" customHeight="1" x14ac:dyDescent="0.3">
      <c r="A45" s="61">
        <v>36</v>
      </c>
      <c r="B45" s="62">
        <v>36</v>
      </c>
      <c r="C45" s="63" t="s">
        <v>85</v>
      </c>
      <c r="D45" s="63">
        <v>1914361168</v>
      </c>
      <c r="E45" s="66" t="s">
        <v>159</v>
      </c>
      <c r="F45" s="65" t="s">
        <v>10</v>
      </c>
      <c r="G45" s="65">
        <v>6</v>
      </c>
      <c r="H45" s="65">
        <v>7</v>
      </c>
      <c r="I45" s="36" cm="1">
        <f t="array" ref="I45">IF(AND(F45:H45="AB"),"AB",SUM(F45:H45))</f>
        <v>13</v>
      </c>
      <c r="J45" s="65" t="s">
        <v>10</v>
      </c>
      <c r="K45" s="65">
        <v>6</v>
      </c>
      <c r="L45" s="65">
        <v>7</v>
      </c>
      <c r="M45" s="36" cm="1">
        <f t="array" ref="M45">IF(AND(J45:L45="AB"),"AB",SUM(J45:L45))</f>
        <v>13</v>
      </c>
      <c r="N45" s="69"/>
      <c r="O45" s="63"/>
      <c r="P45" s="63"/>
      <c r="Q45" s="63"/>
      <c r="R45" s="63"/>
      <c r="S45" s="63"/>
      <c r="T45" s="70"/>
      <c r="U45" s="74"/>
      <c r="V45" s="73"/>
      <c r="W45" s="73"/>
      <c r="X45" s="73"/>
      <c r="Y45" s="38" cm="1">
        <f t="array" ref="Y45">IF(AND(U45:X45="AB"),"AB",SUM(U45:X45))</f>
        <v>0</v>
      </c>
      <c r="Z45" s="39" t="str">
        <f t="shared" si="0"/>
        <v/>
      </c>
      <c r="AA45" s="39" t="str">
        <f t="shared" si="1"/>
        <v/>
      </c>
      <c r="AB45" s="39" t="str">
        <f t="shared" si="2"/>
        <v/>
      </c>
      <c r="AC45" s="39" t="str">
        <f t="shared" si="3"/>
        <v/>
      </c>
      <c r="AD45" s="39" t="str">
        <f t="shared" si="4"/>
        <v/>
      </c>
      <c r="AE45" s="39" t="str">
        <f t="shared" si="5"/>
        <v/>
      </c>
      <c r="AF45" s="70">
        <v>5</v>
      </c>
      <c r="AG45" s="70">
        <v>7</v>
      </c>
      <c r="AH45" s="70">
        <v>3</v>
      </c>
      <c r="AI45" s="74">
        <v>6</v>
      </c>
      <c r="AJ45" s="73">
        <v>4</v>
      </c>
      <c r="AK45" s="73">
        <v>7</v>
      </c>
      <c r="AL45" s="50" cm="1">
        <f t="array" ref="AL45">IF(AND(AF45:AK45="AB"),"AB",SUM(AF45:AK45))</f>
        <v>32</v>
      </c>
      <c r="AM45" s="70">
        <v>16</v>
      </c>
      <c r="AN45" s="70">
        <v>16</v>
      </c>
      <c r="AO45" s="70">
        <v>20</v>
      </c>
      <c r="AP45" s="74">
        <v>16</v>
      </c>
      <c r="AQ45" s="73">
        <v>16</v>
      </c>
      <c r="AR45" s="73">
        <v>20</v>
      </c>
      <c r="AS45" s="73">
        <v>10</v>
      </c>
      <c r="AT45" s="73">
        <v>10</v>
      </c>
      <c r="AU45" s="73">
        <v>10</v>
      </c>
      <c r="AV45" s="73">
        <v>10</v>
      </c>
      <c r="AW45" s="40" cm="1">
        <f t="array" ref="AW45">IF(AND(AM45:AV45="AB"),"AB",AVERAGE(AM45:AV45))</f>
        <v>14.4</v>
      </c>
      <c r="AX45" s="70">
        <v>16</v>
      </c>
      <c r="AY45" s="37"/>
      <c r="AZ45" s="37"/>
    </row>
    <row r="46" spans="1:52" s="17" customFormat="1" ht="18" customHeight="1" x14ac:dyDescent="0.3">
      <c r="A46" s="61">
        <v>37</v>
      </c>
      <c r="B46" s="62">
        <v>37</v>
      </c>
      <c r="C46" s="63" t="s">
        <v>86</v>
      </c>
      <c r="D46" s="63">
        <v>1914361169</v>
      </c>
      <c r="E46" s="66" t="s">
        <v>160</v>
      </c>
      <c r="F46" s="65">
        <v>7</v>
      </c>
      <c r="G46" s="65">
        <v>6</v>
      </c>
      <c r="H46" s="65">
        <v>7</v>
      </c>
      <c r="I46" s="36" cm="1">
        <f t="array" ref="I46">IF(AND(F46:H46="AB"),"AB",SUM(F46:H46))</f>
        <v>20</v>
      </c>
      <c r="J46" s="65">
        <v>7</v>
      </c>
      <c r="K46" s="65">
        <v>6</v>
      </c>
      <c r="L46" s="65">
        <v>7</v>
      </c>
      <c r="M46" s="36" cm="1">
        <f t="array" ref="M46">IF(AND(J46:L46="AB"),"AB",SUM(J46:L46))</f>
        <v>20</v>
      </c>
      <c r="N46" s="69"/>
      <c r="O46" s="63"/>
      <c r="P46" s="63"/>
      <c r="Q46" s="63"/>
      <c r="R46" s="63"/>
      <c r="S46" s="63"/>
      <c r="T46" s="70"/>
      <c r="U46" s="74"/>
      <c r="V46" s="73"/>
      <c r="W46" s="73"/>
      <c r="X46" s="73"/>
      <c r="Y46" s="38" cm="1">
        <f t="array" ref="Y46">IF(AND(U46:X46="AB"),"AB",SUM(U46:X46))</f>
        <v>0</v>
      </c>
      <c r="Z46" s="39" t="str">
        <f t="shared" si="0"/>
        <v/>
      </c>
      <c r="AA46" s="39" t="str">
        <f t="shared" si="1"/>
        <v/>
      </c>
      <c r="AB46" s="39" t="str">
        <f t="shared" si="2"/>
        <v/>
      </c>
      <c r="AC46" s="39" t="str">
        <f t="shared" si="3"/>
        <v/>
      </c>
      <c r="AD46" s="39" t="str">
        <f t="shared" si="4"/>
        <v/>
      </c>
      <c r="AE46" s="39" t="str">
        <f t="shared" si="5"/>
        <v/>
      </c>
      <c r="AF46" s="70">
        <v>8</v>
      </c>
      <c r="AG46" s="70">
        <v>5</v>
      </c>
      <c r="AH46" s="70">
        <v>0</v>
      </c>
      <c r="AI46" s="74">
        <v>6</v>
      </c>
      <c r="AJ46" s="73">
        <v>6</v>
      </c>
      <c r="AK46" s="73">
        <v>8</v>
      </c>
      <c r="AL46" s="50" cm="1">
        <f t="array" ref="AL46">IF(AND(AF46:AK46="AB"),"AB",SUM(AF46:AK46))</f>
        <v>33</v>
      </c>
      <c r="AM46" s="70">
        <v>18</v>
      </c>
      <c r="AN46" s="70">
        <v>18</v>
      </c>
      <c r="AO46" s="70">
        <v>19</v>
      </c>
      <c r="AP46" s="74">
        <v>18</v>
      </c>
      <c r="AQ46" s="73">
        <v>18</v>
      </c>
      <c r="AR46" s="73">
        <v>19</v>
      </c>
      <c r="AS46" s="73">
        <v>19</v>
      </c>
      <c r="AT46" s="73">
        <v>13</v>
      </c>
      <c r="AU46" s="73">
        <v>13</v>
      </c>
      <c r="AV46" s="73">
        <v>13</v>
      </c>
      <c r="AW46" s="40" cm="1">
        <f t="array" ref="AW46">IF(AND(AM46:AV46="AB"),"AB",AVERAGE(AM46:AV46))</f>
        <v>16.8</v>
      </c>
      <c r="AX46" s="70">
        <v>18</v>
      </c>
      <c r="AY46" s="37"/>
      <c r="AZ46" s="37"/>
    </row>
    <row r="47" spans="1:52" s="17" customFormat="1" ht="18" customHeight="1" x14ac:dyDescent="0.3">
      <c r="A47" s="61">
        <v>38</v>
      </c>
      <c r="B47" s="62">
        <v>38</v>
      </c>
      <c r="C47" s="63" t="s">
        <v>87</v>
      </c>
      <c r="D47" s="63">
        <v>1914361170</v>
      </c>
      <c r="E47" s="66" t="s">
        <v>161</v>
      </c>
      <c r="F47" s="65">
        <v>6</v>
      </c>
      <c r="G47" s="65">
        <v>6</v>
      </c>
      <c r="H47" s="65">
        <v>7</v>
      </c>
      <c r="I47" s="36" cm="1">
        <f t="array" ref="I47">IF(AND(F47:H47="AB"),"AB",SUM(F47:H47))</f>
        <v>19</v>
      </c>
      <c r="J47" s="65">
        <v>6</v>
      </c>
      <c r="K47" s="65">
        <v>6</v>
      </c>
      <c r="L47" s="65">
        <v>7</v>
      </c>
      <c r="M47" s="36" cm="1">
        <f t="array" ref="M47">IF(AND(J47:L47="AB"),"AB",SUM(J47:L47))</f>
        <v>19</v>
      </c>
      <c r="N47" s="69"/>
      <c r="O47" s="63"/>
      <c r="P47" s="63"/>
      <c r="Q47" s="63"/>
      <c r="R47" s="63"/>
      <c r="S47" s="63"/>
      <c r="T47" s="70"/>
      <c r="U47" s="74"/>
      <c r="V47" s="73"/>
      <c r="W47" s="73"/>
      <c r="X47" s="73"/>
      <c r="Y47" s="38" cm="1">
        <f t="array" ref="Y47">IF(AND(U47:X47="AB"),"AB",SUM(U47:X47))</f>
        <v>0</v>
      </c>
      <c r="Z47" s="39" t="str">
        <f t="shared" si="0"/>
        <v/>
      </c>
      <c r="AA47" s="39" t="str">
        <f t="shared" si="1"/>
        <v/>
      </c>
      <c r="AB47" s="39" t="str">
        <f t="shared" si="2"/>
        <v/>
      </c>
      <c r="AC47" s="39" t="str">
        <f t="shared" si="3"/>
        <v/>
      </c>
      <c r="AD47" s="39" t="str">
        <f t="shared" si="4"/>
        <v/>
      </c>
      <c r="AE47" s="39" t="str">
        <f t="shared" si="5"/>
        <v/>
      </c>
      <c r="AF47" s="70">
        <v>0</v>
      </c>
      <c r="AG47" s="70">
        <v>0</v>
      </c>
      <c r="AH47" s="70">
        <v>0</v>
      </c>
      <c r="AI47" s="74">
        <v>4</v>
      </c>
      <c r="AJ47" s="73">
        <v>6</v>
      </c>
      <c r="AK47" s="73">
        <v>2.5</v>
      </c>
      <c r="AL47" s="50" cm="1">
        <f t="array" ref="AL47">IF(AND(AF47:AK47="AB"),"AB",SUM(AF47:AK47))</f>
        <v>12.5</v>
      </c>
      <c r="AM47" s="70">
        <v>15</v>
      </c>
      <c r="AN47" s="70">
        <v>18</v>
      </c>
      <c r="AO47" s="70">
        <v>20</v>
      </c>
      <c r="AP47" s="74">
        <v>15</v>
      </c>
      <c r="AQ47" s="73">
        <v>18</v>
      </c>
      <c r="AR47" s="73">
        <v>20</v>
      </c>
      <c r="AS47" s="73">
        <v>10</v>
      </c>
      <c r="AT47" s="73">
        <v>10</v>
      </c>
      <c r="AU47" s="73">
        <v>10</v>
      </c>
      <c r="AV47" s="73">
        <v>10</v>
      </c>
      <c r="AW47" s="40" cm="1">
        <f t="array" ref="AW47">IF(AND(AM47:AV47="AB"),"AB",AVERAGE(AM47:AV47))</f>
        <v>14.6</v>
      </c>
      <c r="AX47" s="70">
        <v>15</v>
      </c>
      <c r="AY47" s="37"/>
      <c r="AZ47" s="37"/>
    </row>
    <row r="48" spans="1:52" s="17" customFormat="1" ht="18" customHeight="1" x14ac:dyDescent="0.3">
      <c r="A48" s="61">
        <v>39</v>
      </c>
      <c r="B48" s="62">
        <v>39</v>
      </c>
      <c r="C48" s="63" t="s">
        <v>88</v>
      </c>
      <c r="D48" s="63">
        <v>1914361171</v>
      </c>
      <c r="E48" s="66" t="s">
        <v>162</v>
      </c>
      <c r="F48" s="65">
        <v>5</v>
      </c>
      <c r="G48" s="65">
        <v>6</v>
      </c>
      <c r="H48" s="65">
        <v>7</v>
      </c>
      <c r="I48" s="36" cm="1">
        <f t="array" ref="I48">IF(AND(F48:H48="AB"),"AB",SUM(F48:H48))</f>
        <v>18</v>
      </c>
      <c r="J48" s="65">
        <v>5</v>
      </c>
      <c r="K48" s="65">
        <v>6</v>
      </c>
      <c r="L48" s="65">
        <v>7</v>
      </c>
      <c r="M48" s="36" cm="1">
        <f t="array" ref="M48">IF(AND(J48:L48="AB"),"AB",SUM(J48:L48))</f>
        <v>18</v>
      </c>
      <c r="N48" s="69"/>
      <c r="O48" s="63"/>
      <c r="P48" s="63"/>
      <c r="Q48" s="63"/>
      <c r="R48" s="63"/>
      <c r="S48" s="63"/>
      <c r="T48" s="70"/>
      <c r="U48" s="74"/>
      <c r="V48" s="73"/>
      <c r="W48" s="73"/>
      <c r="X48" s="73"/>
      <c r="Y48" s="38" cm="1">
        <f t="array" ref="Y48">IF(AND(U48:X48="AB"),"AB",SUM(U48:X48))</f>
        <v>0</v>
      </c>
      <c r="Z48" s="39" t="str">
        <f t="shared" si="0"/>
        <v/>
      </c>
      <c r="AA48" s="39" t="str">
        <f t="shared" si="1"/>
        <v/>
      </c>
      <c r="AB48" s="39" t="str">
        <f t="shared" si="2"/>
        <v/>
      </c>
      <c r="AC48" s="39" t="str">
        <f t="shared" si="3"/>
        <v/>
      </c>
      <c r="AD48" s="39" t="str">
        <f t="shared" si="4"/>
        <v/>
      </c>
      <c r="AE48" s="39" t="str">
        <f t="shared" si="5"/>
        <v/>
      </c>
      <c r="AF48" s="70">
        <v>2</v>
      </c>
      <c r="AG48" s="70">
        <v>1.5</v>
      </c>
      <c r="AH48" s="70">
        <v>3.5</v>
      </c>
      <c r="AI48" s="74">
        <v>4.5</v>
      </c>
      <c r="AJ48" s="73">
        <v>7</v>
      </c>
      <c r="AK48" s="73">
        <v>5</v>
      </c>
      <c r="AL48" s="50" cm="1">
        <f t="array" ref="AL48">IF(AND(AF48:AK48="AB"),"AB",SUM(AF48:AK48))</f>
        <v>23.5</v>
      </c>
      <c r="AM48" s="70">
        <v>15</v>
      </c>
      <c r="AN48" s="70">
        <v>15</v>
      </c>
      <c r="AO48" s="70">
        <v>17</v>
      </c>
      <c r="AP48" s="74">
        <v>15</v>
      </c>
      <c r="AQ48" s="73">
        <v>15</v>
      </c>
      <c r="AR48" s="73">
        <v>17</v>
      </c>
      <c r="AS48" s="73">
        <v>18</v>
      </c>
      <c r="AT48" s="73">
        <v>16</v>
      </c>
      <c r="AU48" s="73">
        <v>16</v>
      </c>
      <c r="AV48" s="73">
        <v>16</v>
      </c>
      <c r="AW48" s="40" cm="1">
        <f t="array" ref="AW48">IF(AND(AM48:AV48="AB"),"AB",AVERAGE(AM48:AV48))</f>
        <v>16</v>
      </c>
      <c r="AX48" s="70">
        <v>15</v>
      </c>
      <c r="AY48" s="37"/>
      <c r="AZ48" s="37"/>
    </row>
    <row r="49" spans="1:52" s="17" customFormat="1" ht="18" customHeight="1" x14ac:dyDescent="0.3">
      <c r="A49" s="61">
        <v>40</v>
      </c>
      <c r="B49" s="62">
        <v>40</v>
      </c>
      <c r="C49" s="63" t="s">
        <v>89</v>
      </c>
      <c r="D49" s="63">
        <v>1914361172</v>
      </c>
      <c r="E49" s="66" t="s">
        <v>163</v>
      </c>
      <c r="F49" s="65">
        <v>4</v>
      </c>
      <c r="G49" s="65">
        <v>6</v>
      </c>
      <c r="H49" s="65">
        <v>7</v>
      </c>
      <c r="I49" s="36" cm="1">
        <f t="array" ref="I49">IF(AND(F49:H49="AB"),"AB",SUM(F49:H49))</f>
        <v>17</v>
      </c>
      <c r="J49" s="65">
        <v>4</v>
      </c>
      <c r="K49" s="65">
        <v>6</v>
      </c>
      <c r="L49" s="65">
        <v>7</v>
      </c>
      <c r="M49" s="36" cm="1">
        <f t="array" ref="M49">IF(AND(J49:L49="AB"),"AB",SUM(J49:L49))</f>
        <v>17</v>
      </c>
      <c r="N49" s="69"/>
      <c r="O49" s="63"/>
      <c r="P49" s="63"/>
      <c r="Q49" s="63"/>
      <c r="R49" s="63"/>
      <c r="S49" s="63"/>
      <c r="T49" s="70"/>
      <c r="U49" s="74"/>
      <c r="V49" s="73"/>
      <c r="W49" s="73"/>
      <c r="X49" s="73"/>
      <c r="Y49" s="38" cm="1">
        <f t="array" ref="Y49">IF(AND(U49:X49="AB"),"AB",SUM(U49:X49))</f>
        <v>0</v>
      </c>
      <c r="Z49" s="39" t="str">
        <f t="shared" si="0"/>
        <v/>
      </c>
      <c r="AA49" s="39" t="str">
        <f t="shared" si="1"/>
        <v/>
      </c>
      <c r="AB49" s="39" t="str">
        <f t="shared" si="2"/>
        <v/>
      </c>
      <c r="AC49" s="39" t="str">
        <f t="shared" si="3"/>
        <v/>
      </c>
      <c r="AD49" s="39" t="str">
        <f t="shared" si="4"/>
        <v/>
      </c>
      <c r="AE49" s="39" t="str">
        <f t="shared" si="5"/>
        <v/>
      </c>
      <c r="AF49" s="70">
        <v>0</v>
      </c>
      <c r="AG49" s="70">
        <v>1</v>
      </c>
      <c r="AH49" s="70">
        <v>1</v>
      </c>
      <c r="AI49" s="74">
        <v>0</v>
      </c>
      <c r="AJ49" s="73">
        <v>0</v>
      </c>
      <c r="AK49" s="73">
        <v>1</v>
      </c>
      <c r="AL49" s="50" cm="1">
        <f t="array" ref="AL49">IF(AND(AF49:AK49="AB"),"AB",SUM(AF49:AK49))</f>
        <v>3</v>
      </c>
      <c r="AM49" s="70">
        <v>19</v>
      </c>
      <c r="AN49" s="70">
        <v>20</v>
      </c>
      <c r="AO49" s="70">
        <v>18</v>
      </c>
      <c r="AP49" s="74">
        <v>19</v>
      </c>
      <c r="AQ49" s="73">
        <v>20</v>
      </c>
      <c r="AR49" s="73">
        <v>18</v>
      </c>
      <c r="AS49" s="73">
        <v>17</v>
      </c>
      <c r="AT49" s="73">
        <v>17</v>
      </c>
      <c r="AU49" s="73">
        <v>17</v>
      </c>
      <c r="AV49" s="73">
        <v>17</v>
      </c>
      <c r="AW49" s="40" cm="1">
        <f t="array" ref="AW49">IF(AND(AM49:AV49="AB"),"AB",AVERAGE(AM49:AV49))</f>
        <v>18.2</v>
      </c>
      <c r="AX49" s="70">
        <v>19</v>
      </c>
      <c r="AY49" s="37"/>
      <c r="AZ49" s="37"/>
    </row>
    <row r="50" spans="1:52" s="17" customFormat="1" ht="18" customHeight="1" x14ac:dyDescent="0.3">
      <c r="A50" s="61">
        <v>41</v>
      </c>
      <c r="B50" s="62">
        <v>41</v>
      </c>
      <c r="C50" s="63" t="s">
        <v>90</v>
      </c>
      <c r="D50" s="63">
        <v>1914361173</v>
      </c>
      <c r="E50" s="66" t="s">
        <v>164</v>
      </c>
      <c r="F50" s="65">
        <v>3</v>
      </c>
      <c r="G50" s="65">
        <v>6</v>
      </c>
      <c r="H50" s="65">
        <v>7</v>
      </c>
      <c r="I50" s="36" cm="1">
        <f t="array" ref="I50">IF(AND(F50:H50="AB"),"AB",SUM(F50:H50))</f>
        <v>16</v>
      </c>
      <c r="J50" s="65">
        <v>3</v>
      </c>
      <c r="K50" s="65">
        <v>6</v>
      </c>
      <c r="L50" s="65">
        <v>7</v>
      </c>
      <c r="M50" s="36" cm="1">
        <f t="array" ref="M50">IF(AND(J50:L50="AB"),"AB",SUM(J50:L50))</f>
        <v>16</v>
      </c>
      <c r="N50" s="69"/>
      <c r="O50" s="63"/>
      <c r="P50" s="63"/>
      <c r="Q50" s="63"/>
      <c r="R50" s="63"/>
      <c r="S50" s="63"/>
      <c r="T50" s="70"/>
      <c r="U50" s="74"/>
      <c r="V50" s="73"/>
      <c r="W50" s="73"/>
      <c r="X50" s="73"/>
      <c r="Y50" s="38" cm="1">
        <f t="array" ref="Y50">IF(AND(U50:X50="AB"),"AB",SUM(U50:X50))</f>
        <v>0</v>
      </c>
      <c r="Z50" s="39" t="str">
        <f t="shared" si="0"/>
        <v/>
      </c>
      <c r="AA50" s="39" t="str">
        <f t="shared" si="1"/>
        <v/>
      </c>
      <c r="AB50" s="39" t="str">
        <f t="shared" si="2"/>
        <v/>
      </c>
      <c r="AC50" s="39" t="str">
        <f t="shared" si="3"/>
        <v/>
      </c>
      <c r="AD50" s="39" t="str">
        <f t="shared" si="4"/>
        <v/>
      </c>
      <c r="AE50" s="39" t="str">
        <f t="shared" si="5"/>
        <v/>
      </c>
      <c r="AF50" s="70">
        <v>2.5</v>
      </c>
      <c r="AG50" s="70">
        <v>0</v>
      </c>
      <c r="AH50" s="70">
        <v>0.5</v>
      </c>
      <c r="AI50" s="74">
        <v>1</v>
      </c>
      <c r="AJ50" s="73">
        <v>6</v>
      </c>
      <c r="AK50" s="73">
        <v>4</v>
      </c>
      <c r="AL50" s="50" cm="1">
        <f t="array" ref="AL50">IF(AND(AF50:AK50="AB"),"AB",SUM(AF50:AK50))</f>
        <v>14</v>
      </c>
      <c r="AM50" s="70">
        <v>19</v>
      </c>
      <c r="AN50" s="70">
        <v>20</v>
      </c>
      <c r="AO50" s="70">
        <v>18</v>
      </c>
      <c r="AP50" s="74">
        <v>19</v>
      </c>
      <c r="AQ50" s="73">
        <v>20</v>
      </c>
      <c r="AR50" s="73">
        <v>18</v>
      </c>
      <c r="AS50" s="73">
        <v>18</v>
      </c>
      <c r="AT50" s="73">
        <v>17</v>
      </c>
      <c r="AU50" s="73">
        <v>17</v>
      </c>
      <c r="AV50" s="73">
        <v>17</v>
      </c>
      <c r="AW50" s="40" cm="1">
        <f t="array" ref="AW50">IF(AND(AM50:AV50="AB"),"AB",AVERAGE(AM50:AV50))</f>
        <v>18.3</v>
      </c>
      <c r="AX50" s="70">
        <v>19</v>
      </c>
      <c r="AY50" s="37"/>
      <c r="AZ50" s="37"/>
    </row>
    <row r="51" spans="1:52" s="17" customFormat="1" ht="18" customHeight="1" x14ac:dyDescent="0.3">
      <c r="A51" s="61">
        <v>42</v>
      </c>
      <c r="B51" s="62">
        <v>42</v>
      </c>
      <c r="C51" s="63" t="s">
        <v>91</v>
      </c>
      <c r="D51" s="63">
        <v>1914361174</v>
      </c>
      <c r="E51" s="66" t="s">
        <v>165</v>
      </c>
      <c r="F51" s="65">
        <v>2</v>
      </c>
      <c r="G51" s="65">
        <v>6</v>
      </c>
      <c r="H51" s="65">
        <v>7</v>
      </c>
      <c r="I51" s="36" cm="1">
        <f t="array" ref="I51">IF(AND(F51:H51="AB"),"AB",SUM(F51:H51))</f>
        <v>15</v>
      </c>
      <c r="J51" s="65">
        <v>2</v>
      </c>
      <c r="K51" s="65">
        <v>6</v>
      </c>
      <c r="L51" s="65">
        <v>7</v>
      </c>
      <c r="M51" s="36" cm="1">
        <f t="array" ref="M51">IF(AND(J51:L51="AB"),"AB",SUM(J51:L51))</f>
        <v>15</v>
      </c>
      <c r="N51" s="69"/>
      <c r="O51" s="63"/>
      <c r="P51" s="63"/>
      <c r="Q51" s="63"/>
      <c r="R51" s="63"/>
      <c r="S51" s="63"/>
      <c r="T51" s="70"/>
      <c r="U51" s="74"/>
      <c r="V51" s="73"/>
      <c r="W51" s="73"/>
      <c r="X51" s="73"/>
      <c r="Y51" s="38" cm="1">
        <f t="array" ref="Y51">IF(AND(U51:X51="AB"),"AB",SUM(U51:X51))</f>
        <v>0</v>
      </c>
      <c r="Z51" s="39" t="str">
        <f t="shared" si="0"/>
        <v/>
      </c>
      <c r="AA51" s="39" t="str">
        <f t="shared" si="1"/>
        <v/>
      </c>
      <c r="AB51" s="39" t="str">
        <f t="shared" si="2"/>
        <v/>
      </c>
      <c r="AC51" s="39" t="str">
        <f t="shared" si="3"/>
        <v/>
      </c>
      <c r="AD51" s="39" t="str">
        <f t="shared" si="4"/>
        <v/>
      </c>
      <c r="AE51" s="39" t="str">
        <f t="shared" si="5"/>
        <v/>
      </c>
      <c r="AF51" s="70">
        <v>1</v>
      </c>
      <c r="AG51" s="70">
        <v>0</v>
      </c>
      <c r="AH51" s="70">
        <v>0</v>
      </c>
      <c r="AI51" s="74">
        <v>0</v>
      </c>
      <c r="AJ51" s="73">
        <v>0</v>
      </c>
      <c r="AK51" s="73">
        <v>3</v>
      </c>
      <c r="AL51" s="50" cm="1">
        <f t="array" ref="AL51">IF(AND(AF51:AK51="AB"),"AB",SUM(AF51:AK51))</f>
        <v>4</v>
      </c>
      <c r="AM51" s="70">
        <v>17</v>
      </c>
      <c r="AN51" s="70">
        <v>19</v>
      </c>
      <c r="AO51" s="70">
        <v>10</v>
      </c>
      <c r="AP51" s="74">
        <v>17</v>
      </c>
      <c r="AQ51" s="73">
        <v>19</v>
      </c>
      <c r="AR51" s="73">
        <v>10</v>
      </c>
      <c r="AS51" s="73">
        <v>16</v>
      </c>
      <c r="AT51" s="73">
        <v>17</v>
      </c>
      <c r="AU51" s="73">
        <v>17</v>
      </c>
      <c r="AV51" s="73">
        <v>17</v>
      </c>
      <c r="AW51" s="40" cm="1">
        <f t="array" ref="AW51">IF(AND(AM51:AV51="AB"),"AB",AVERAGE(AM51:AV51))</f>
        <v>15.9</v>
      </c>
      <c r="AX51" s="70">
        <v>17</v>
      </c>
      <c r="AY51" s="37"/>
      <c r="AZ51" s="37"/>
    </row>
    <row r="52" spans="1:52" s="17" customFormat="1" ht="18" customHeight="1" x14ac:dyDescent="0.3">
      <c r="A52" s="61">
        <v>43</v>
      </c>
      <c r="B52" s="62">
        <v>43</v>
      </c>
      <c r="C52" s="63" t="s">
        <v>92</v>
      </c>
      <c r="D52" s="63">
        <v>1914361175</v>
      </c>
      <c r="E52" s="66" t="s">
        <v>166</v>
      </c>
      <c r="F52" s="65">
        <v>1</v>
      </c>
      <c r="G52" s="65">
        <v>6</v>
      </c>
      <c r="H52" s="65">
        <v>7</v>
      </c>
      <c r="I52" s="36" cm="1">
        <f t="array" ref="I52">IF(AND(F52:H52="AB"),"AB",SUM(F52:H52))</f>
        <v>14</v>
      </c>
      <c r="J52" s="65">
        <v>1</v>
      </c>
      <c r="K52" s="65">
        <v>6</v>
      </c>
      <c r="L52" s="65">
        <v>7</v>
      </c>
      <c r="M52" s="36" cm="1">
        <f t="array" ref="M52">IF(AND(J52:L52="AB"),"AB",SUM(J52:L52))</f>
        <v>14</v>
      </c>
      <c r="N52" s="69"/>
      <c r="O52" s="63"/>
      <c r="P52" s="63"/>
      <c r="Q52" s="63"/>
      <c r="R52" s="63"/>
      <c r="S52" s="63"/>
      <c r="T52" s="70"/>
      <c r="U52" s="74"/>
      <c r="V52" s="73"/>
      <c r="W52" s="73"/>
      <c r="X52" s="73"/>
      <c r="Y52" s="38" cm="1">
        <f t="array" ref="Y52">IF(AND(U52:X52="AB"),"AB",SUM(U52:X52))</f>
        <v>0</v>
      </c>
      <c r="Z52" s="39" t="str">
        <f t="shared" si="0"/>
        <v/>
      </c>
      <c r="AA52" s="39" t="str">
        <f t="shared" si="1"/>
        <v/>
      </c>
      <c r="AB52" s="39" t="str">
        <f t="shared" si="2"/>
        <v/>
      </c>
      <c r="AC52" s="39" t="str">
        <f t="shared" si="3"/>
        <v/>
      </c>
      <c r="AD52" s="39" t="str">
        <f t="shared" si="4"/>
        <v/>
      </c>
      <c r="AE52" s="39" t="str">
        <f t="shared" si="5"/>
        <v/>
      </c>
      <c r="AF52" s="70">
        <v>8</v>
      </c>
      <c r="AG52" s="70">
        <v>8</v>
      </c>
      <c r="AH52" s="70">
        <v>6</v>
      </c>
      <c r="AI52" s="74">
        <v>8</v>
      </c>
      <c r="AJ52" s="73">
        <v>9</v>
      </c>
      <c r="AK52" s="73">
        <v>9</v>
      </c>
      <c r="AL52" s="50" cm="1">
        <f t="array" ref="AL52">IF(AND(AF52:AK52="AB"),"AB",SUM(AF52:AK52))</f>
        <v>48</v>
      </c>
      <c r="AM52" s="70">
        <v>17</v>
      </c>
      <c r="AN52" s="70">
        <v>20</v>
      </c>
      <c r="AO52" s="70">
        <v>10</v>
      </c>
      <c r="AP52" s="74">
        <v>17</v>
      </c>
      <c r="AQ52" s="73">
        <v>20</v>
      </c>
      <c r="AR52" s="73">
        <v>10</v>
      </c>
      <c r="AS52" s="73">
        <v>16</v>
      </c>
      <c r="AT52" s="73">
        <v>19</v>
      </c>
      <c r="AU52" s="73">
        <v>19</v>
      </c>
      <c r="AV52" s="73">
        <v>19</v>
      </c>
      <c r="AW52" s="40" cm="1">
        <f t="array" ref="AW52">IF(AND(AM52:AV52="AB"),"AB",AVERAGE(AM52:AV52))</f>
        <v>16.7</v>
      </c>
      <c r="AX52" s="70">
        <v>17</v>
      </c>
      <c r="AY52" s="37"/>
      <c r="AZ52" s="37"/>
    </row>
    <row r="53" spans="1:52" s="17" customFormat="1" ht="18" customHeight="1" x14ac:dyDescent="0.3">
      <c r="A53" s="61">
        <v>44</v>
      </c>
      <c r="B53" s="62">
        <v>44</v>
      </c>
      <c r="C53" s="63" t="s">
        <v>93</v>
      </c>
      <c r="D53" s="63">
        <v>1914361176</v>
      </c>
      <c r="E53" s="66" t="s">
        <v>167</v>
      </c>
      <c r="F53" s="65">
        <v>0</v>
      </c>
      <c r="G53" s="65">
        <v>6</v>
      </c>
      <c r="H53" s="65">
        <v>7</v>
      </c>
      <c r="I53" s="36" cm="1">
        <f t="array" ref="I53">IF(AND(F53:H53="AB"),"AB",SUM(F53:H53))</f>
        <v>13</v>
      </c>
      <c r="J53" s="65">
        <v>0</v>
      </c>
      <c r="K53" s="65">
        <v>6</v>
      </c>
      <c r="L53" s="65">
        <v>7</v>
      </c>
      <c r="M53" s="36" cm="1">
        <f t="array" ref="M53">IF(AND(J53:L53="AB"),"AB",SUM(J53:L53))</f>
        <v>13</v>
      </c>
      <c r="N53" s="69"/>
      <c r="O53" s="63"/>
      <c r="P53" s="63"/>
      <c r="Q53" s="63"/>
      <c r="R53" s="63"/>
      <c r="S53" s="63"/>
      <c r="T53" s="70"/>
      <c r="U53" s="74"/>
      <c r="V53" s="73"/>
      <c r="W53" s="73"/>
      <c r="X53" s="73"/>
      <c r="Y53" s="38" cm="1">
        <f t="array" ref="Y53">IF(AND(U53:X53="AB"),"AB",SUM(U53:X53))</f>
        <v>0</v>
      </c>
      <c r="Z53" s="39" t="str">
        <f t="shared" si="0"/>
        <v/>
      </c>
      <c r="AA53" s="39" t="str">
        <f t="shared" si="1"/>
        <v/>
      </c>
      <c r="AB53" s="39" t="str">
        <f t="shared" si="2"/>
        <v/>
      </c>
      <c r="AC53" s="39" t="str">
        <f t="shared" si="3"/>
        <v/>
      </c>
      <c r="AD53" s="39" t="str">
        <f t="shared" si="4"/>
        <v/>
      </c>
      <c r="AE53" s="39" t="str">
        <f t="shared" si="5"/>
        <v/>
      </c>
      <c r="AF53" s="70">
        <v>9</v>
      </c>
      <c r="AG53" s="70">
        <v>9</v>
      </c>
      <c r="AH53" s="70">
        <v>8</v>
      </c>
      <c r="AI53" s="74">
        <v>8</v>
      </c>
      <c r="AJ53" s="73">
        <v>9</v>
      </c>
      <c r="AK53" s="73">
        <v>9</v>
      </c>
      <c r="AL53" s="50" cm="1">
        <f t="array" ref="AL53">IF(AND(AF53:AK53="AB"),"AB",SUM(AF53:AK53))</f>
        <v>52</v>
      </c>
      <c r="AM53" s="70">
        <v>16</v>
      </c>
      <c r="AN53" s="70">
        <v>17</v>
      </c>
      <c r="AO53" s="70">
        <v>19</v>
      </c>
      <c r="AP53" s="74">
        <v>16</v>
      </c>
      <c r="AQ53" s="73">
        <v>17</v>
      </c>
      <c r="AR53" s="73">
        <v>19</v>
      </c>
      <c r="AS53" s="73">
        <v>17</v>
      </c>
      <c r="AT53" s="73">
        <v>15</v>
      </c>
      <c r="AU53" s="73">
        <v>15</v>
      </c>
      <c r="AV53" s="73">
        <v>15</v>
      </c>
      <c r="AW53" s="40" cm="1">
        <f t="array" ref="AW53">IF(AND(AM53:AV53="AB"),"AB",AVERAGE(AM53:AV53))</f>
        <v>16.600000000000001</v>
      </c>
      <c r="AX53" s="70">
        <v>16</v>
      </c>
      <c r="AY53" s="37"/>
      <c r="AZ53" s="37"/>
    </row>
    <row r="54" spans="1:52" s="17" customFormat="1" ht="18" customHeight="1" x14ac:dyDescent="0.3">
      <c r="A54" s="61">
        <v>45</v>
      </c>
      <c r="B54" s="62">
        <v>45</v>
      </c>
      <c r="C54" s="63" t="s">
        <v>94</v>
      </c>
      <c r="D54" s="63">
        <v>1914361177</v>
      </c>
      <c r="E54" s="66" t="s">
        <v>168</v>
      </c>
      <c r="F54" s="65" t="s">
        <v>10</v>
      </c>
      <c r="G54" s="65">
        <v>6</v>
      </c>
      <c r="H54" s="65">
        <v>7</v>
      </c>
      <c r="I54" s="36" cm="1">
        <f t="array" ref="I54">IF(AND(F54:H54="AB"),"AB",SUM(F54:H54))</f>
        <v>13</v>
      </c>
      <c r="J54" s="65" t="s">
        <v>10</v>
      </c>
      <c r="K54" s="65">
        <v>6</v>
      </c>
      <c r="L54" s="65">
        <v>7</v>
      </c>
      <c r="M54" s="36" cm="1">
        <f t="array" ref="M54">IF(AND(J54:L54="AB"),"AB",SUM(J54:L54))</f>
        <v>13</v>
      </c>
      <c r="N54" s="69"/>
      <c r="O54" s="63"/>
      <c r="P54" s="63"/>
      <c r="Q54" s="63"/>
      <c r="R54" s="63"/>
      <c r="S54" s="63"/>
      <c r="T54" s="70"/>
      <c r="U54" s="74"/>
      <c r="V54" s="73"/>
      <c r="W54" s="74"/>
      <c r="X54" s="73"/>
      <c r="Y54" s="38" cm="1">
        <f t="array" ref="Y54">IF(AND(U54:X54="AB"),"AB",SUM(U54:X54))</f>
        <v>0</v>
      </c>
      <c r="Z54" s="39" t="str">
        <f t="shared" si="0"/>
        <v/>
      </c>
      <c r="AA54" s="39" t="str">
        <f t="shared" si="1"/>
        <v/>
      </c>
      <c r="AB54" s="39" t="str">
        <f t="shared" si="2"/>
        <v/>
      </c>
      <c r="AC54" s="39" t="str">
        <f t="shared" si="3"/>
        <v/>
      </c>
      <c r="AD54" s="39" t="str">
        <f t="shared" si="4"/>
        <v/>
      </c>
      <c r="AE54" s="39" t="str">
        <f t="shared" si="5"/>
        <v/>
      </c>
      <c r="AF54" s="70">
        <v>7</v>
      </c>
      <c r="AG54" s="70">
        <v>8</v>
      </c>
      <c r="AH54" s="70">
        <v>8</v>
      </c>
      <c r="AI54" s="74">
        <v>4</v>
      </c>
      <c r="AJ54" s="73">
        <v>7</v>
      </c>
      <c r="AK54" s="73">
        <v>8</v>
      </c>
      <c r="AL54" s="50" cm="1">
        <f t="array" ref="AL54">IF(AND(AF54:AK54="AB"),"AB",SUM(AF54:AK54))</f>
        <v>42</v>
      </c>
      <c r="AM54" s="70">
        <v>18</v>
      </c>
      <c r="AN54" s="70">
        <v>18</v>
      </c>
      <c r="AO54" s="70">
        <v>10</v>
      </c>
      <c r="AP54" s="74">
        <v>18</v>
      </c>
      <c r="AQ54" s="73">
        <v>18</v>
      </c>
      <c r="AR54" s="73">
        <v>10</v>
      </c>
      <c r="AS54" s="73">
        <v>17</v>
      </c>
      <c r="AT54" s="73">
        <v>16</v>
      </c>
      <c r="AU54" s="73">
        <v>16</v>
      </c>
      <c r="AV54" s="73">
        <v>16</v>
      </c>
      <c r="AW54" s="40" cm="1">
        <f t="array" ref="AW54">IF(AND(AM54:AV54="AB"),"AB",AVERAGE(AM54:AV54))</f>
        <v>15.7</v>
      </c>
      <c r="AX54" s="70">
        <v>18</v>
      </c>
      <c r="AY54" s="37"/>
      <c r="AZ54" s="37"/>
    </row>
    <row r="55" spans="1:52" s="17" customFormat="1" ht="18" customHeight="1" x14ac:dyDescent="0.3">
      <c r="A55" s="61">
        <v>46</v>
      </c>
      <c r="B55" s="62">
        <v>46</v>
      </c>
      <c r="C55" s="63" t="s">
        <v>95</v>
      </c>
      <c r="D55" s="63">
        <v>1914361178</v>
      </c>
      <c r="E55" s="66" t="s">
        <v>169</v>
      </c>
      <c r="F55" s="65">
        <v>7</v>
      </c>
      <c r="G55" s="65">
        <v>6</v>
      </c>
      <c r="H55" s="65">
        <v>7</v>
      </c>
      <c r="I55" s="36" cm="1">
        <f t="array" ref="I55">IF(AND(F55:H55="AB"),"AB",SUM(F55:H55))</f>
        <v>20</v>
      </c>
      <c r="J55" s="65">
        <v>7</v>
      </c>
      <c r="K55" s="65">
        <v>6</v>
      </c>
      <c r="L55" s="65">
        <v>7</v>
      </c>
      <c r="M55" s="36" cm="1">
        <f t="array" ref="M55">IF(AND(J55:L55="AB"),"AB",SUM(J55:L55))</f>
        <v>20</v>
      </c>
      <c r="N55" s="69"/>
      <c r="O55" s="63"/>
      <c r="P55" s="63"/>
      <c r="Q55" s="63"/>
      <c r="R55" s="63"/>
      <c r="S55" s="63"/>
      <c r="T55" s="70"/>
      <c r="U55" s="74"/>
      <c r="V55" s="73"/>
      <c r="W55" s="74"/>
      <c r="X55" s="73"/>
      <c r="Y55" s="38" cm="1">
        <f t="array" ref="Y55">IF(AND(U55:X55="AB"),"AB",SUM(U55:X55))</f>
        <v>0</v>
      </c>
      <c r="Z55" s="39" t="str">
        <f t="shared" si="0"/>
        <v/>
      </c>
      <c r="AA55" s="39" t="str">
        <f t="shared" si="1"/>
        <v/>
      </c>
      <c r="AB55" s="39" t="str">
        <f t="shared" si="2"/>
        <v/>
      </c>
      <c r="AC55" s="39" t="str">
        <f t="shared" si="3"/>
        <v/>
      </c>
      <c r="AD55" s="39" t="str">
        <f t="shared" si="4"/>
        <v/>
      </c>
      <c r="AE55" s="39" t="str">
        <f t="shared" si="5"/>
        <v/>
      </c>
      <c r="AF55" s="70">
        <v>5</v>
      </c>
      <c r="AG55" s="70">
        <v>7</v>
      </c>
      <c r="AH55" s="70">
        <v>3</v>
      </c>
      <c r="AI55" s="74">
        <v>6</v>
      </c>
      <c r="AJ55" s="73">
        <v>4</v>
      </c>
      <c r="AK55" s="73">
        <v>7</v>
      </c>
      <c r="AL55" s="50" cm="1">
        <f t="array" ref="AL55">IF(AND(AF55:AK55="AB"),"AB",SUM(AF55:AK55))</f>
        <v>32</v>
      </c>
      <c r="AM55" s="70">
        <v>10</v>
      </c>
      <c r="AN55" s="70">
        <v>10</v>
      </c>
      <c r="AO55" s="70">
        <v>18</v>
      </c>
      <c r="AP55" s="74">
        <v>10</v>
      </c>
      <c r="AQ55" s="73">
        <v>10</v>
      </c>
      <c r="AR55" s="73">
        <v>18</v>
      </c>
      <c r="AS55" s="73">
        <v>21</v>
      </c>
      <c r="AT55" s="73">
        <v>18</v>
      </c>
      <c r="AU55" s="73">
        <v>18</v>
      </c>
      <c r="AV55" s="73">
        <v>18</v>
      </c>
      <c r="AW55" s="40" cm="1">
        <f t="array" ref="AW55">IF(AND(AM55:AV55="AB"),"AB",AVERAGE(AM55:AV55))</f>
        <v>15.1</v>
      </c>
      <c r="AX55" s="70" t="s">
        <v>10</v>
      </c>
      <c r="AY55" s="37"/>
      <c r="AZ55" s="37"/>
    </row>
    <row r="56" spans="1:52" s="17" customFormat="1" ht="18" customHeight="1" x14ac:dyDescent="0.3">
      <c r="A56" s="61">
        <v>47</v>
      </c>
      <c r="B56" s="62">
        <v>47</v>
      </c>
      <c r="C56" s="63" t="s">
        <v>96</v>
      </c>
      <c r="D56" s="63">
        <v>1914361179</v>
      </c>
      <c r="E56" s="66" t="s">
        <v>170</v>
      </c>
      <c r="F56" s="65">
        <v>6</v>
      </c>
      <c r="G56" s="65">
        <v>6</v>
      </c>
      <c r="H56" s="65">
        <v>7</v>
      </c>
      <c r="I56" s="36" cm="1">
        <f t="array" ref="I56">IF(AND(F56:H56="AB"),"AB",SUM(F56:H56))</f>
        <v>19</v>
      </c>
      <c r="J56" s="65">
        <v>6</v>
      </c>
      <c r="K56" s="65">
        <v>6</v>
      </c>
      <c r="L56" s="65">
        <v>7</v>
      </c>
      <c r="M56" s="36" cm="1">
        <f t="array" ref="M56">IF(AND(J56:L56="AB"),"AB",SUM(J56:L56))</f>
        <v>19</v>
      </c>
      <c r="N56" s="69"/>
      <c r="O56" s="63"/>
      <c r="P56" s="63"/>
      <c r="Q56" s="63"/>
      <c r="R56" s="63"/>
      <c r="S56" s="63"/>
      <c r="T56" s="70"/>
      <c r="U56" s="74"/>
      <c r="V56" s="73"/>
      <c r="W56" s="74"/>
      <c r="X56" s="73"/>
      <c r="Y56" s="38" cm="1">
        <f t="array" ref="Y56">IF(AND(U56:X56="AB"),"AB",SUM(U56:X56))</f>
        <v>0</v>
      </c>
      <c r="Z56" s="39" t="str">
        <f t="shared" si="0"/>
        <v/>
      </c>
      <c r="AA56" s="39" t="str">
        <f t="shared" si="1"/>
        <v/>
      </c>
      <c r="AB56" s="39" t="str">
        <f t="shared" si="2"/>
        <v/>
      </c>
      <c r="AC56" s="39" t="str">
        <f t="shared" si="3"/>
        <v/>
      </c>
      <c r="AD56" s="39" t="str">
        <f t="shared" si="4"/>
        <v/>
      </c>
      <c r="AE56" s="39" t="str">
        <f t="shared" si="5"/>
        <v/>
      </c>
      <c r="AF56" s="70">
        <v>8</v>
      </c>
      <c r="AG56" s="70">
        <v>5</v>
      </c>
      <c r="AH56" s="70">
        <v>0</v>
      </c>
      <c r="AI56" s="74">
        <v>6</v>
      </c>
      <c r="AJ56" s="73">
        <v>6</v>
      </c>
      <c r="AK56" s="73">
        <v>8</v>
      </c>
      <c r="AL56" s="50" cm="1">
        <f t="array" ref="AL56">IF(AND(AF56:AK56="AB"),"AB",SUM(AF56:AK56))</f>
        <v>33</v>
      </c>
      <c r="AM56" s="70">
        <v>10</v>
      </c>
      <c r="AN56" s="70">
        <v>10</v>
      </c>
      <c r="AO56" s="70">
        <v>17</v>
      </c>
      <c r="AP56" s="74">
        <v>10</v>
      </c>
      <c r="AQ56" s="73">
        <v>10</v>
      </c>
      <c r="AR56" s="73">
        <v>17</v>
      </c>
      <c r="AS56" s="73">
        <v>18</v>
      </c>
      <c r="AT56" s="73">
        <v>19</v>
      </c>
      <c r="AU56" s="73">
        <v>19</v>
      </c>
      <c r="AV56" s="73">
        <v>19</v>
      </c>
      <c r="AW56" s="40" cm="1">
        <f t="array" ref="AW56">IF(AND(AM56:AV56="AB"),"AB",AVERAGE(AM56:AV56))</f>
        <v>14.9</v>
      </c>
      <c r="AX56" s="70">
        <v>10</v>
      </c>
      <c r="AY56" s="37"/>
      <c r="AZ56" s="37"/>
    </row>
    <row r="57" spans="1:52" s="17" customFormat="1" ht="18" customHeight="1" x14ac:dyDescent="0.3">
      <c r="A57" s="61">
        <v>48</v>
      </c>
      <c r="B57" s="62">
        <v>48</v>
      </c>
      <c r="C57" s="63" t="s">
        <v>97</v>
      </c>
      <c r="D57" s="63">
        <v>1914361180</v>
      </c>
      <c r="E57" s="66" t="s">
        <v>171</v>
      </c>
      <c r="F57" s="65">
        <v>5</v>
      </c>
      <c r="G57" s="65">
        <v>6</v>
      </c>
      <c r="H57" s="65">
        <v>7</v>
      </c>
      <c r="I57" s="36" cm="1">
        <f t="array" ref="I57">IF(AND(F57:H57="AB"),"AB",SUM(F57:H57))</f>
        <v>18</v>
      </c>
      <c r="J57" s="65">
        <v>5</v>
      </c>
      <c r="K57" s="65">
        <v>6</v>
      </c>
      <c r="L57" s="65">
        <v>7</v>
      </c>
      <c r="M57" s="36" cm="1">
        <f t="array" ref="M57">IF(AND(J57:L57="AB"),"AB",SUM(J57:L57))</f>
        <v>18</v>
      </c>
      <c r="N57" s="69"/>
      <c r="O57" s="63"/>
      <c r="P57" s="63"/>
      <c r="Q57" s="63"/>
      <c r="R57" s="63"/>
      <c r="S57" s="63"/>
      <c r="T57" s="70"/>
      <c r="U57" s="74"/>
      <c r="V57" s="73"/>
      <c r="W57" s="74"/>
      <c r="X57" s="73"/>
      <c r="Y57" s="38" cm="1">
        <f t="array" ref="Y57">IF(AND(U57:X57="AB"),"AB",SUM(U57:X57))</f>
        <v>0</v>
      </c>
      <c r="Z57" s="39" t="str">
        <f t="shared" si="0"/>
        <v/>
      </c>
      <c r="AA57" s="39" t="str">
        <f t="shared" si="1"/>
        <v/>
      </c>
      <c r="AB57" s="39" t="str">
        <f t="shared" si="2"/>
        <v/>
      </c>
      <c r="AC57" s="39" t="str">
        <f t="shared" si="3"/>
        <v/>
      </c>
      <c r="AD57" s="39" t="str">
        <f t="shared" si="4"/>
        <v/>
      </c>
      <c r="AE57" s="39" t="str">
        <f t="shared" si="5"/>
        <v/>
      </c>
      <c r="AF57" s="70">
        <v>0</v>
      </c>
      <c r="AG57" s="70">
        <v>0</v>
      </c>
      <c r="AH57" s="70">
        <v>0</v>
      </c>
      <c r="AI57" s="74">
        <v>4</v>
      </c>
      <c r="AJ57" s="73">
        <v>6</v>
      </c>
      <c r="AK57" s="73">
        <v>2.5</v>
      </c>
      <c r="AL57" s="50" cm="1">
        <f t="array" ref="AL57">IF(AND(AF57:AK57="AB"),"AB",SUM(AF57:AK57))</f>
        <v>12.5</v>
      </c>
      <c r="AM57" s="70">
        <v>19</v>
      </c>
      <c r="AN57" s="70">
        <v>13</v>
      </c>
      <c r="AO57" s="70">
        <v>18</v>
      </c>
      <c r="AP57" s="74">
        <v>19</v>
      </c>
      <c r="AQ57" s="73">
        <v>13</v>
      </c>
      <c r="AR57" s="73">
        <v>18</v>
      </c>
      <c r="AS57" s="73">
        <v>17</v>
      </c>
      <c r="AT57" s="73">
        <v>19</v>
      </c>
      <c r="AU57" s="73">
        <v>19</v>
      </c>
      <c r="AV57" s="73">
        <v>19</v>
      </c>
      <c r="AW57" s="40" cm="1">
        <f t="array" ref="AW57">IF(AND(AM57:AV57="AB"),"AB",AVERAGE(AM57:AV57))</f>
        <v>17.399999999999999</v>
      </c>
      <c r="AX57" s="70">
        <v>19</v>
      </c>
      <c r="AY57" s="37"/>
      <c r="AZ57" s="37"/>
    </row>
    <row r="58" spans="1:52" s="17" customFormat="1" ht="18" customHeight="1" x14ac:dyDescent="0.3">
      <c r="A58" s="61">
        <v>49</v>
      </c>
      <c r="B58" s="62">
        <v>49</v>
      </c>
      <c r="C58" s="63" t="s">
        <v>98</v>
      </c>
      <c r="D58" s="63">
        <v>1914361181</v>
      </c>
      <c r="E58" s="66" t="s">
        <v>172</v>
      </c>
      <c r="F58" s="65">
        <v>4</v>
      </c>
      <c r="G58" s="65">
        <v>6</v>
      </c>
      <c r="H58" s="65">
        <v>7</v>
      </c>
      <c r="I58" s="36" cm="1">
        <f t="array" ref="I58">IF(AND(F58:H58="AB"),"AB",SUM(F58:H58))</f>
        <v>17</v>
      </c>
      <c r="J58" s="65">
        <v>4</v>
      </c>
      <c r="K58" s="65">
        <v>6</v>
      </c>
      <c r="L58" s="65">
        <v>7</v>
      </c>
      <c r="M58" s="36" cm="1">
        <f t="array" ref="M58">IF(AND(J58:L58="AB"),"AB",SUM(J58:L58))</f>
        <v>17</v>
      </c>
      <c r="N58" s="69"/>
      <c r="O58" s="63"/>
      <c r="P58" s="63"/>
      <c r="Q58" s="63"/>
      <c r="R58" s="63"/>
      <c r="S58" s="63"/>
      <c r="T58" s="70"/>
      <c r="U58" s="74"/>
      <c r="V58" s="73"/>
      <c r="W58" s="73"/>
      <c r="X58" s="73"/>
      <c r="Y58" s="38" cm="1">
        <f t="array" ref="Y58">IF(AND(U58:X58="AB"),"AB",SUM(U58:X58))</f>
        <v>0</v>
      </c>
      <c r="Z58" s="39" t="str">
        <f t="shared" si="0"/>
        <v/>
      </c>
      <c r="AA58" s="39" t="str">
        <f t="shared" si="1"/>
        <v/>
      </c>
      <c r="AB58" s="39" t="str">
        <f t="shared" si="2"/>
        <v/>
      </c>
      <c r="AC58" s="39" t="str">
        <f t="shared" si="3"/>
        <v/>
      </c>
      <c r="AD58" s="39" t="str">
        <f t="shared" si="4"/>
        <v/>
      </c>
      <c r="AE58" s="39" t="str">
        <f t="shared" si="5"/>
        <v/>
      </c>
      <c r="AF58" s="70">
        <v>2</v>
      </c>
      <c r="AG58" s="70">
        <v>1.5</v>
      </c>
      <c r="AH58" s="70">
        <v>3.5</v>
      </c>
      <c r="AI58" s="74">
        <v>4.5</v>
      </c>
      <c r="AJ58" s="73">
        <v>7</v>
      </c>
      <c r="AK58" s="73">
        <v>5</v>
      </c>
      <c r="AL58" s="50" cm="1">
        <f t="array" ref="AL58">IF(AND(AF58:AK58="AB"),"AB",SUM(AF58:AK58))</f>
        <v>23.5</v>
      </c>
      <c r="AM58" s="70">
        <v>10</v>
      </c>
      <c r="AN58" s="70">
        <v>10</v>
      </c>
      <c r="AO58" s="70">
        <v>16</v>
      </c>
      <c r="AP58" s="74">
        <v>10</v>
      </c>
      <c r="AQ58" s="73">
        <v>10</v>
      </c>
      <c r="AR58" s="73">
        <v>16</v>
      </c>
      <c r="AS58" s="73">
        <v>21</v>
      </c>
      <c r="AT58" s="73">
        <v>19</v>
      </c>
      <c r="AU58" s="73">
        <v>19</v>
      </c>
      <c r="AV58" s="73">
        <v>19</v>
      </c>
      <c r="AW58" s="40" cm="1">
        <f t="array" ref="AW58">IF(AND(AM58:AV58="AB"),"AB",AVERAGE(AM58:AV58))</f>
        <v>15</v>
      </c>
      <c r="AX58" s="70">
        <v>10</v>
      </c>
      <c r="AY58" s="37"/>
      <c r="AZ58" s="37"/>
    </row>
    <row r="59" spans="1:52" s="17" customFormat="1" ht="18" customHeight="1" x14ac:dyDescent="0.3">
      <c r="A59" s="61">
        <v>50</v>
      </c>
      <c r="B59" s="62">
        <v>50</v>
      </c>
      <c r="C59" s="63" t="s">
        <v>99</v>
      </c>
      <c r="D59" s="63">
        <v>1914361182</v>
      </c>
      <c r="E59" s="66" t="s">
        <v>173</v>
      </c>
      <c r="F59" s="65">
        <v>3</v>
      </c>
      <c r="G59" s="65">
        <v>6</v>
      </c>
      <c r="H59" s="65">
        <v>7</v>
      </c>
      <c r="I59" s="36" cm="1">
        <f t="array" ref="I59">IF(AND(F59:H59="AB"),"AB",SUM(F59:H59))</f>
        <v>16</v>
      </c>
      <c r="J59" s="65">
        <v>3</v>
      </c>
      <c r="K59" s="65">
        <v>6</v>
      </c>
      <c r="L59" s="65">
        <v>7</v>
      </c>
      <c r="M59" s="36" cm="1">
        <f t="array" ref="M59">IF(AND(J59:L59="AB"),"AB",SUM(J59:L59))</f>
        <v>16</v>
      </c>
      <c r="N59" s="69"/>
      <c r="O59" s="63"/>
      <c r="P59" s="63"/>
      <c r="Q59" s="63"/>
      <c r="R59" s="63"/>
      <c r="S59" s="63"/>
      <c r="T59" s="70"/>
      <c r="U59" s="74"/>
      <c r="V59" s="73"/>
      <c r="W59" s="73"/>
      <c r="X59" s="73"/>
      <c r="Y59" s="38" cm="1">
        <f t="array" ref="Y59">IF(AND(U59:X59="AB"),"AB",SUM(U59:X59))</f>
        <v>0</v>
      </c>
      <c r="Z59" s="39" t="str">
        <f t="shared" si="0"/>
        <v/>
      </c>
      <c r="AA59" s="39" t="str">
        <f t="shared" si="1"/>
        <v/>
      </c>
      <c r="AB59" s="39" t="str">
        <f t="shared" si="2"/>
        <v/>
      </c>
      <c r="AC59" s="39" t="str">
        <f t="shared" si="3"/>
        <v/>
      </c>
      <c r="AD59" s="39" t="str">
        <f t="shared" si="4"/>
        <v/>
      </c>
      <c r="AE59" s="39" t="str">
        <f t="shared" si="5"/>
        <v/>
      </c>
      <c r="AF59" s="70">
        <v>0</v>
      </c>
      <c r="AG59" s="70">
        <v>1</v>
      </c>
      <c r="AH59" s="70">
        <v>1</v>
      </c>
      <c r="AI59" s="74">
        <v>0</v>
      </c>
      <c r="AJ59" s="73">
        <v>0</v>
      </c>
      <c r="AK59" s="73">
        <v>1</v>
      </c>
      <c r="AL59" s="50" cm="1">
        <f t="array" ref="AL59">IF(AND(AF59:AK59="AB"),"AB",SUM(AF59:AK59))</f>
        <v>3</v>
      </c>
      <c r="AM59" s="70">
        <v>18</v>
      </c>
      <c r="AN59" s="70">
        <v>16</v>
      </c>
      <c r="AO59" s="70">
        <v>16</v>
      </c>
      <c r="AP59" s="74">
        <v>18</v>
      </c>
      <c r="AQ59" s="73">
        <v>16</v>
      </c>
      <c r="AR59" s="73">
        <v>16</v>
      </c>
      <c r="AS59" s="73">
        <v>21</v>
      </c>
      <c r="AT59" s="73">
        <v>20</v>
      </c>
      <c r="AU59" s="73">
        <v>20</v>
      </c>
      <c r="AV59" s="73">
        <v>20</v>
      </c>
      <c r="AW59" s="40" cm="1">
        <f t="array" ref="AW59">IF(AND(AM59:AV59="AB"),"AB",AVERAGE(AM59:AV59))</f>
        <v>18.100000000000001</v>
      </c>
      <c r="AX59" s="70">
        <v>18</v>
      </c>
      <c r="AY59" s="37"/>
      <c r="AZ59" s="37"/>
    </row>
    <row r="60" spans="1:52" s="17" customFormat="1" ht="18" customHeight="1" x14ac:dyDescent="0.3">
      <c r="A60" s="61">
        <v>51</v>
      </c>
      <c r="B60" s="62">
        <v>51</v>
      </c>
      <c r="C60" s="63" t="s">
        <v>100</v>
      </c>
      <c r="D60" s="63">
        <v>1914361183</v>
      </c>
      <c r="E60" s="66" t="s">
        <v>174</v>
      </c>
      <c r="F60" s="65">
        <v>2</v>
      </c>
      <c r="G60" s="65">
        <v>6</v>
      </c>
      <c r="H60" s="65">
        <v>7</v>
      </c>
      <c r="I60" s="36" cm="1">
        <f t="array" ref="I60">IF(AND(F60:H60="AB"),"AB",SUM(F60:H60))</f>
        <v>15</v>
      </c>
      <c r="J60" s="65">
        <v>2</v>
      </c>
      <c r="K60" s="65">
        <v>6</v>
      </c>
      <c r="L60" s="65">
        <v>7</v>
      </c>
      <c r="M60" s="36" cm="1">
        <f t="array" ref="M60">IF(AND(J60:L60="AB"),"AB",SUM(J60:L60))</f>
        <v>15</v>
      </c>
      <c r="N60" s="69"/>
      <c r="O60" s="63"/>
      <c r="P60" s="63"/>
      <c r="Q60" s="63"/>
      <c r="R60" s="63"/>
      <c r="S60" s="63"/>
      <c r="T60" s="70"/>
      <c r="U60" s="74"/>
      <c r="V60" s="73"/>
      <c r="W60" s="73"/>
      <c r="X60" s="73"/>
      <c r="Y60" s="38" cm="1">
        <f t="array" ref="Y60">IF(AND(U60:X60="AB"),"AB",SUM(U60:X60))</f>
        <v>0</v>
      </c>
      <c r="Z60" s="39" t="str">
        <f t="shared" si="0"/>
        <v/>
      </c>
      <c r="AA60" s="39" t="str">
        <f t="shared" si="1"/>
        <v/>
      </c>
      <c r="AB60" s="39" t="str">
        <f t="shared" si="2"/>
        <v/>
      </c>
      <c r="AC60" s="39" t="str">
        <f t="shared" si="3"/>
        <v/>
      </c>
      <c r="AD60" s="39" t="str">
        <f t="shared" si="4"/>
        <v/>
      </c>
      <c r="AE60" s="39" t="str">
        <f t="shared" si="5"/>
        <v/>
      </c>
      <c r="AF60" s="70">
        <v>2.5</v>
      </c>
      <c r="AG60" s="70">
        <v>0</v>
      </c>
      <c r="AH60" s="70">
        <v>0.5</v>
      </c>
      <c r="AI60" s="74">
        <v>1</v>
      </c>
      <c r="AJ60" s="73">
        <v>6</v>
      </c>
      <c r="AK60" s="73">
        <v>4</v>
      </c>
      <c r="AL60" s="50" cm="1">
        <f t="array" ref="AL60">IF(AND(AF60:AK60="AB"),"AB",SUM(AF60:AK60))</f>
        <v>14</v>
      </c>
      <c r="AM60" s="70">
        <v>17</v>
      </c>
      <c r="AN60" s="70">
        <v>17</v>
      </c>
      <c r="AO60" s="70">
        <v>17</v>
      </c>
      <c r="AP60" s="74">
        <v>17</v>
      </c>
      <c r="AQ60" s="73">
        <v>17</v>
      </c>
      <c r="AR60" s="73">
        <v>17</v>
      </c>
      <c r="AS60" s="73">
        <v>19</v>
      </c>
      <c r="AT60" s="73">
        <v>18</v>
      </c>
      <c r="AU60" s="73">
        <v>18</v>
      </c>
      <c r="AV60" s="73">
        <v>18</v>
      </c>
      <c r="AW60" s="40" cm="1">
        <f t="array" ref="AW60">IF(AND(AM60:AV60="AB"),"AB",AVERAGE(AM60:AV60))</f>
        <v>17.5</v>
      </c>
      <c r="AX60" s="70">
        <v>17</v>
      </c>
      <c r="AY60" s="37"/>
      <c r="AZ60" s="37"/>
    </row>
    <row r="61" spans="1:52" s="17" customFormat="1" ht="18" customHeight="1" x14ac:dyDescent="0.3">
      <c r="A61" s="61">
        <v>52</v>
      </c>
      <c r="B61" s="62">
        <v>52</v>
      </c>
      <c r="C61" s="63" t="s">
        <v>101</v>
      </c>
      <c r="D61" s="63">
        <v>1914361184</v>
      </c>
      <c r="E61" s="66" t="s">
        <v>175</v>
      </c>
      <c r="F61" s="65">
        <v>1</v>
      </c>
      <c r="G61" s="65">
        <v>6</v>
      </c>
      <c r="H61" s="65">
        <v>7</v>
      </c>
      <c r="I61" s="36" cm="1">
        <f t="array" ref="I61">IF(AND(F61:H61="AB"),"AB",SUM(F61:H61))</f>
        <v>14</v>
      </c>
      <c r="J61" s="65">
        <v>1</v>
      </c>
      <c r="K61" s="65">
        <v>6</v>
      </c>
      <c r="L61" s="65">
        <v>7</v>
      </c>
      <c r="M61" s="36" cm="1">
        <f t="array" ref="M61">IF(AND(J61:L61="AB"),"AB",SUM(J61:L61))</f>
        <v>14</v>
      </c>
      <c r="N61" s="69"/>
      <c r="O61" s="63"/>
      <c r="P61" s="63"/>
      <c r="Q61" s="63"/>
      <c r="R61" s="63"/>
      <c r="S61" s="63"/>
      <c r="T61" s="70"/>
      <c r="U61" s="74"/>
      <c r="V61" s="73"/>
      <c r="W61" s="73"/>
      <c r="X61" s="73"/>
      <c r="Y61" s="38" cm="1">
        <f t="array" ref="Y61">IF(AND(U61:X61="AB"),"AB",SUM(U61:X61))</f>
        <v>0</v>
      </c>
      <c r="Z61" s="39" t="str">
        <f t="shared" si="0"/>
        <v/>
      </c>
      <c r="AA61" s="39" t="str">
        <f t="shared" si="1"/>
        <v/>
      </c>
      <c r="AB61" s="39" t="str">
        <f t="shared" si="2"/>
        <v/>
      </c>
      <c r="AC61" s="39" t="str">
        <f t="shared" si="3"/>
        <v/>
      </c>
      <c r="AD61" s="39" t="str">
        <f t="shared" si="4"/>
        <v/>
      </c>
      <c r="AE61" s="39" t="str">
        <f t="shared" si="5"/>
        <v/>
      </c>
      <c r="AF61" s="70">
        <v>1</v>
      </c>
      <c r="AG61" s="70">
        <v>0</v>
      </c>
      <c r="AH61" s="70">
        <v>0</v>
      </c>
      <c r="AI61" s="74">
        <v>0</v>
      </c>
      <c r="AJ61" s="73">
        <v>0</v>
      </c>
      <c r="AK61" s="73">
        <v>3</v>
      </c>
      <c r="AL61" s="50" cm="1">
        <f t="array" ref="AL61">IF(AND(AF61:AK61="AB"),"AB",SUM(AF61:AK61))</f>
        <v>4</v>
      </c>
      <c r="AM61" s="70">
        <v>18</v>
      </c>
      <c r="AN61" s="70">
        <v>17</v>
      </c>
      <c r="AO61" s="70">
        <v>17</v>
      </c>
      <c r="AP61" s="74">
        <v>18</v>
      </c>
      <c r="AQ61" s="73">
        <v>17</v>
      </c>
      <c r="AR61" s="73">
        <v>17</v>
      </c>
      <c r="AS61" s="73">
        <v>21</v>
      </c>
      <c r="AT61" s="73">
        <v>18</v>
      </c>
      <c r="AU61" s="73">
        <v>18</v>
      </c>
      <c r="AV61" s="73">
        <v>18</v>
      </c>
      <c r="AW61" s="40" cm="1">
        <f t="array" ref="AW61">IF(AND(AM61:AV61="AB"),"AB",AVERAGE(AM61:AV61))</f>
        <v>17.899999999999999</v>
      </c>
      <c r="AX61" s="70">
        <v>18</v>
      </c>
      <c r="AY61" s="37"/>
      <c r="AZ61" s="37"/>
    </row>
    <row r="62" spans="1:52" s="17" customFormat="1" ht="18" customHeight="1" x14ac:dyDescent="0.3">
      <c r="A62" s="61">
        <v>53</v>
      </c>
      <c r="B62" s="62">
        <v>53</v>
      </c>
      <c r="C62" s="63" t="s">
        <v>102</v>
      </c>
      <c r="D62" s="63">
        <v>1914361185</v>
      </c>
      <c r="E62" s="66" t="s">
        <v>176</v>
      </c>
      <c r="F62" s="65">
        <v>0</v>
      </c>
      <c r="G62" s="65">
        <v>6</v>
      </c>
      <c r="H62" s="65">
        <v>7</v>
      </c>
      <c r="I62" s="36" cm="1">
        <f t="array" ref="I62">IF(AND(F62:H62="AB"),"AB",SUM(F62:H62))</f>
        <v>13</v>
      </c>
      <c r="J62" s="65">
        <v>0</v>
      </c>
      <c r="K62" s="65">
        <v>6</v>
      </c>
      <c r="L62" s="65">
        <v>7</v>
      </c>
      <c r="M62" s="36" cm="1">
        <f t="array" ref="M62">IF(AND(J62:L62="AB"),"AB",SUM(J62:L62))</f>
        <v>13</v>
      </c>
      <c r="N62" s="69"/>
      <c r="O62" s="63"/>
      <c r="P62" s="63"/>
      <c r="Q62" s="63"/>
      <c r="R62" s="63"/>
      <c r="S62" s="63"/>
      <c r="T62" s="70"/>
      <c r="U62" s="74"/>
      <c r="V62" s="73"/>
      <c r="W62" s="73"/>
      <c r="X62" s="73"/>
      <c r="Y62" s="38" cm="1">
        <f t="array" ref="Y62">IF(AND(U62:X62="AB"),"AB",SUM(U62:X62))</f>
        <v>0</v>
      </c>
      <c r="Z62" s="39" t="str">
        <f t="shared" si="0"/>
        <v/>
      </c>
      <c r="AA62" s="39" t="str">
        <f t="shared" si="1"/>
        <v/>
      </c>
      <c r="AB62" s="39" t="str">
        <f t="shared" si="2"/>
        <v/>
      </c>
      <c r="AC62" s="39" t="str">
        <f t="shared" si="3"/>
        <v/>
      </c>
      <c r="AD62" s="39" t="str">
        <f t="shared" si="4"/>
        <v/>
      </c>
      <c r="AE62" s="39" t="str">
        <f t="shared" si="5"/>
        <v/>
      </c>
      <c r="AF62" s="70">
        <v>8</v>
      </c>
      <c r="AG62" s="70">
        <v>8</v>
      </c>
      <c r="AH62" s="70">
        <v>6</v>
      </c>
      <c r="AI62" s="74">
        <v>8</v>
      </c>
      <c r="AJ62" s="73">
        <v>9</v>
      </c>
      <c r="AK62" s="73">
        <v>9</v>
      </c>
      <c r="AL62" s="50" cm="1">
        <f t="array" ref="AL62">IF(AND(AF62:AK62="AB"),"AB",SUM(AF62:AK62))</f>
        <v>48</v>
      </c>
      <c r="AM62" s="70">
        <v>16</v>
      </c>
      <c r="AN62" s="70">
        <v>17</v>
      </c>
      <c r="AO62" s="70">
        <v>21</v>
      </c>
      <c r="AP62" s="74">
        <v>16</v>
      </c>
      <c r="AQ62" s="73">
        <v>17</v>
      </c>
      <c r="AR62" s="73">
        <v>21</v>
      </c>
      <c r="AS62" s="73">
        <v>14</v>
      </c>
      <c r="AT62" s="73">
        <v>18</v>
      </c>
      <c r="AU62" s="73">
        <v>18</v>
      </c>
      <c r="AV62" s="73">
        <v>18</v>
      </c>
      <c r="AW62" s="40" cm="1">
        <f t="array" ref="AW62">IF(AND(AM62:AV62="AB"),"AB",AVERAGE(AM62:AV62))</f>
        <v>17.600000000000001</v>
      </c>
      <c r="AX62" s="70">
        <v>16</v>
      </c>
      <c r="AY62" s="37"/>
      <c r="AZ62" s="37"/>
    </row>
    <row r="63" spans="1:52" s="17" customFormat="1" ht="18" customHeight="1" x14ac:dyDescent="0.3">
      <c r="A63" s="61">
        <v>54</v>
      </c>
      <c r="B63" s="62">
        <v>54</v>
      </c>
      <c r="C63" s="63" t="s">
        <v>103</v>
      </c>
      <c r="D63" s="63">
        <v>1914361186</v>
      </c>
      <c r="E63" s="66" t="s">
        <v>177</v>
      </c>
      <c r="F63" s="65" t="s">
        <v>10</v>
      </c>
      <c r="G63" s="65">
        <v>6</v>
      </c>
      <c r="H63" s="65">
        <v>7</v>
      </c>
      <c r="I63" s="36" cm="1">
        <f t="array" ref="I63">IF(AND(F63:H63="AB"),"AB",SUM(F63:H63))</f>
        <v>13</v>
      </c>
      <c r="J63" s="65" t="s">
        <v>10</v>
      </c>
      <c r="K63" s="65">
        <v>6</v>
      </c>
      <c r="L63" s="65">
        <v>7</v>
      </c>
      <c r="M63" s="36" cm="1">
        <f t="array" ref="M63">IF(AND(J63:L63="AB"),"AB",SUM(J63:L63))</f>
        <v>13</v>
      </c>
      <c r="N63" s="69"/>
      <c r="O63" s="63"/>
      <c r="P63" s="63"/>
      <c r="Q63" s="63"/>
      <c r="R63" s="63"/>
      <c r="S63" s="63"/>
      <c r="T63" s="70"/>
      <c r="U63" s="70"/>
      <c r="V63" s="74"/>
      <c r="W63" s="73"/>
      <c r="X63" s="73"/>
      <c r="Y63" s="38" cm="1">
        <f t="array" ref="Y63">IF(AND(U63:X63="AB"),"AB",SUM(U63:X63))</f>
        <v>0</v>
      </c>
      <c r="Z63" s="39" t="str">
        <f t="shared" si="0"/>
        <v/>
      </c>
      <c r="AA63" s="39" t="str">
        <f t="shared" si="1"/>
        <v/>
      </c>
      <c r="AB63" s="39" t="str">
        <f t="shared" si="2"/>
        <v/>
      </c>
      <c r="AC63" s="39" t="str">
        <f t="shared" si="3"/>
        <v/>
      </c>
      <c r="AD63" s="39" t="str">
        <f t="shared" si="4"/>
        <v/>
      </c>
      <c r="AE63" s="39" t="str">
        <f t="shared" si="5"/>
        <v/>
      </c>
      <c r="AF63" s="70">
        <v>9</v>
      </c>
      <c r="AG63" s="70">
        <v>9</v>
      </c>
      <c r="AH63" s="70">
        <v>8</v>
      </c>
      <c r="AI63" s="74">
        <v>8</v>
      </c>
      <c r="AJ63" s="73">
        <v>9</v>
      </c>
      <c r="AK63" s="73">
        <v>9</v>
      </c>
      <c r="AL63" s="50" cm="1">
        <f t="array" ref="AL63">IF(AND(AF63:AK63="AB"),"AB",SUM(AF63:AK63))</f>
        <v>52</v>
      </c>
      <c r="AM63" s="70">
        <v>16</v>
      </c>
      <c r="AN63" s="70">
        <v>19</v>
      </c>
      <c r="AO63" s="70">
        <v>18</v>
      </c>
      <c r="AP63" s="74">
        <v>16</v>
      </c>
      <c r="AQ63" s="73">
        <v>19</v>
      </c>
      <c r="AR63" s="73">
        <v>18</v>
      </c>
      <c r="AS63" s="73">
        <v>16</v>
      </c>
      <c r="AT63" s="73">
        <v>18</v>
      </c>
      <c r="AU63" s="73">
        <v>18</v>
      </c>
      <c r="AV63" s="73">
        <v>18</v>
      </c>
      <c r="AW63" s="40" cm="1">
        <f t="array" ref="AW63">IF(AND(AM63:AV63="AB"),"AB",AVERAGE(AM63:AV63))</f>
        <v>17.600000000000001</v>
      </c>
      <c r="AX63" s="70">
        <v>16</v>
      </c>
      <c r="AY63" s="37"/>
      <c r="AZ63" s="37"/>
    </row>
    <row r="64" spans="1:52" s="17" customFormat="1" ht="18" customHeight="1" x14ac:dyDescent="0.3">
      <c r="A64" s="61">
        <v>55</v>
      </c>
      <c r="B64" s="62">
        <v>55</v>
      </c>
      <c r="C64" s="63" t="s">
        <v>104</v>
      </c>
      <c r="D64" s="63">
        <v>1914361187</v>
      </c>
      <c r="E64" s="66" t="s">
        <v>178</v>
      </c>
      <c r="F64" s="65">
        <v>7</v>
      </c>
      <c r="G64" s="65">
        <v>6</v>
      </c>
      <c r="H64" s="65">
        <v>7</v>
      </c>
      <c r="I64" s="36" cm="1">
        <f t="array" ref="I64">IF(AND(F64:H64="AB"),"AB",SUM(F64:H64))</f>
        <v>20</v>
      </c>
      <c r="J64" s="65">
        <v>7</v>
      </c>
      <c r="K64" s="65">
        <v>6</v>
      </c>
      <c r="L64" s="65">
        <v>7</v>
      </c>
      <c r="M64" s="36" cm="1">
        <f t="array" ref="M64">IF(AND(J64:L64="AB"),"AB",SUM(J64:L64))</f>
        <v>20</v>
      </c>
      <c r="N64" s="69"/>
      <c r="O64" s="63"/>
      <c r="P64" s="63"/>
      <c r="Q64" s="63"/>
      <c r="R64" s="63"/>
      <c r="S64" s="63"/>
      <c r="T64" s="70"/>
      <c r="U64" s="70"/>
      <c r="V64" s="74"/>
      <c r="W64" s="73"/>
      <c r="X64" s="73"/>
      <c r="Y64" s="38" cm="1">
        <f t="array" ref="Y64">IF(AND(U64:X64="AB"),"AB",SUM(U64:X64))</f>
        <v>0</v>
      </c>
      <c r="Z64" s="39" t="str">
        <f t="shared" si="0"/>
        <v/>
      </c>
      <c r="AA64" s="39" t="str">
        <f t="shared" si="1"/>
        <v/>
      </c>
      <c r="AB64" s="39" t="str">
        <f t="shared" si="2"/>
        <v/>
      </c>
      <c r="AC64" s="39" t="str">
        <f t="shared" si="3"/>
        <v/>
      </c>
      <c r="AD64" s="39" t="str">
        <f t="shared" si="4"/>
        <v/>
      </c>
      <c r="AE64" s="39" t="str">
        <f t="shared" si="5"/>
        <v/>
      </c>
      <c r="AF64" s="70">
        <v>7</v>
      </c>
      <c r="AG64" s="70">
        <v>8</v>
      </c>
      <c r="AH64" s="70">
        <v>8</v>
      </c>
      <c r="AI64" s="74">
        <v>4</v>
      </c>
      <c r="AJ64" s="73">
        <v>7</v>
      </c>
      <c r="AK64" s="73">
        <v>8</v>
      </c>
      <c r="AL64" s="50" cm="1">
        <f t="array" ref="AL64">IF(AND(AF64:AK64="AB"),"AB",SUM(AF64:AK64))</f>
        <v>42</v>
      </c>
      <c r="AM64" s="70">
        <v>17</v>
      </c>
      <c r="AN64" s="70">
        <v>15</v>
      </c>
      <c r="AO64" s="70">
        <v>17</v>
      </c>
      <c r="AP64" s="74">
        <v>17</v>
      </c>
      <c r="AQ64" s="73">
        <v>15</v>
      </c>
      <c r="AR64" s="73">
        <v>17</v>
      </c>
      <c r="AS64" s="73">
        <v>13</v>
      </c>
      <c r="AT64" s="73">
        <v>15</v>
      </c>
      <c r="AU64" s="73">
        <v>15</v>
      </c>
      <c r="AV64" s="73">
        <v>15</v>
      </c>
      <c r="AW64" s="40" cm="1">
        <f t="array" ref="AW64">IF(AND(AM64:AV64="AB"),"AB",AVERAGE(AM64:AV64))</f>
        <v>15.6</v>
      </c>
      <c r="AX64" s="70">
        <v>17</v>
      </c>
      <c r="AY64" s="37"/>
      <c r="AZ64" s="37"/>
    </row>
    <row r="65" spans="1:52" s="17" customFormat="1" ht="18" customHeight="1" x14ac:dyDescent="0.3">
      <c r="A65" s="61">
        <v>56</v>
      </c>
      <c r="B65" s="62">
        <v>56</v>
      </c>
      <c r="C65" s="63" t="s">
        <v>105</v>
      </c>
      <c r="D65" s="63">
        <v>1914361188</v>
      </c>
      <c r="E65" s="66" t="s">
        <v>179</v>
      </c>
      <c r="F65" s="65">
        <v>6</v>
      </c>
      <c r="G65" s="65">
        <v>6</v>
      </c>
      <c r="H65" s="65">
        <v>7</v>
      </c>
      <c r="I65" s="36" cm="1">
        <f t="array" ref="I65">IF(AND(F65:H65="AB"),"AB",SUM(F65:H65))</f>
        <v>19</v>
      </c>
      <c r="J65" s="65">
        <v>6</v>
      </c>
      <c r="K65" s="65">
        <v>6</v>
      </c>
      <c r="L65" s="65">
        <v>7</v>
      </c>
      <c r="M65" s="36" cm="1">
        <f t="array" ref="M65">IF(AND(J65:L65="AB"),"AB",SUM(J65:L65))</f>
        <v>19</v>
      </c>
      <c r="N65" s="69"/>
      <c r="O65" s="63"/>
      <c r="P65" s="63"/>
      <c r="Q65" s="63"/>
      <c r="R65" s="63"/>
      <c r="S65" s="63"/>
      <c r="T65" s="70"/>
      <c r="U65" s="70"/>
      <c r="V65" s="70"/>
      <c r="W65" s="70"/>
      <c r="X65" s="73"/>
      <c r="Y65" s="38" cm="1">
        <f t="array" ref="Y65">IF(AND(U65:X65="AB"),"AB",SUM(U65:X65))</f>
        <v>0</v>
      </c>
      <c r="Z65" s="39" t="str">
        <f t="shared" si="0"/>
        <v/>
      </c>
      <c r="AA65" s="39" t="str">
        <f t="shared" si="1"/>
        <v/>
      </c>
      <c r="AB65" s="39" t="str">
        <f t="shared" si="2"/>
        <v/>
      </c>
      <c r="AC65" s="39" t="str">
        <f t="shared" si="3"/>
        <v/>
      </c>
      <c r="AD65" s="39" t="str">
        <f t="shared" si="4"/>
        <v/>
      </c>
      <c r="AE65" s="39" t="str">
        <f t="shared" si="5"/>
        <v/>
      </c>
      <c r="AF65" s="70">
        <v>5</v>
      </c>
      <c r="AG65" s="70">
        <v>7</v>
      </c>
      <c r="AH65" s="70">
        <v>3</v>
      </c>
      <c r="AI65" s="74">
        <v>6</v>
      </c>
      <c r="AJ65" s="73">
        <v>4</v>
      </c>
      <c r="AK65" s="73">
        <v>7</v>
      </c>
      <c r="AL65" s="50" cm="1">
        <f t="array" ref="AL65">IF(AND(AF65:AK65="AB"),"AB",SUM(AF65:AK65))</f>
        <v>32</v>
      </c>
      <c r="AM65" s="70">
        <v>17</v>
      </c>
      <c r="AN65" s="70">
        <v>16</v>
      </c>
      <c r="AO65" s="70">
        <v>21</v>
      </c>
      <c r="AP65" s="74">
        <v>17</v>
      </c>
      <c r="AQ65" s="73">
        <v>16</v>
      </c>
      <c r="AR65" s="73">
        <v>21</v>
      </c>
      <c r="AS65" s="73">
        <v>18</v>
      </c>
      <c r="AT65" s="73">
        <v>16</v>
      </c>
      <c r="AU65" s="73">
        <v>16</v>
      </c>
      <c r="AV65" s="73">
        <v>16</v>
      </c>
      <c r="AW65" s="40" cm="1">
        <f t="array" ref="AW65">IF(AND(AM65:AV65="AB"),"AB",AVERAGE(AM65:AV65))</f>
        <v>17.399999999999999</v>
      </c>
      <c r="AX65" s="70">
        <v>17</v>
      </c>
      <c r="AY65" s="37"/>
      <c r="AZ65" s="37"/>
    </row>
    <row r="66" spans="1:52" s="17" customFormat="1" ht="18" customHeight="1" x14ac:dyDescent="0.3">
      <c r="A66" s="61">
        <v>57</v>
      </c>
      <c r="B66" s="62">
        <v>57</v>
      </c>
      <c r="C66" s="63" t="s">
        <v>106</v>
      </c>
      <c r="D66" s="63">
        <v>1914361189</v>
      </c>
      <c r="E66" s="66" t="s">
        <v>180</v>
      </c>
      <c r="F66" s="65">
        <v>5</v>
      </c>
      <c r="G66" s="65">
        <v>6</v>
      </c>
      <c r="H66" s="65">
        <v>7</v>
      </c>
      <c r="I66" s="36" cm="1">
        <f t="array" ref="I66">IF(AND(F66:H66="AB"),"AB",SUM(F66:H66))</f>
        <v>18</v>
      </c>
      <c r="J66" s="65">
        <v>5</v>
      </c>
      <c r="K66" s="65">
        <v>6</v>
      </c>
      <c r="L66" s="65">
        <v>7</v>
      </c>
      <c r="M66" s="36" cm="1">
        <f t="array" ref="M66">IF(AND(J66:L66="AB"),"AB",SUM(J66:L66))</f>
        <v>18</v>
      </c>
      <c r="N66" s="69"/>
      <c r="O66" s="63"/>
      <c r="P66" s="63"/>
      <c r="Q66" s="63"/>
      <c r="R66" s="63"/>
      <c r="S66" s="63"/>
      <c r="T66" s="70"/>
      <c r="U66" s="70"/>
      <c r="V66" s="74"/>
      <c r="W66" s="73"/>
      <c r="X66" s="73"/>
      <c r="Y66" s="38" cm="1">
        <f t="array" ref="Y66">IF(AND(U66:X66="AB"),"AB",SUM(U66:X66))</f>
        <v>0</v>
      </c>
      <c r="Z66" s="39" t="str">
        <f t="shared" si="0"/>
        <v/>
      </c>
      <c r="AA66" s="39" t="str">
        <f t="shared" si="1"/>
        <v/>
      </c>
      <c r="AB66" s="39" t="str">
        <f t="shared" si="2"/>
        <v/>
      </c>
      <c r="AC66" s="39" t="str">
        <f t="shared" si="3"/>
        <v/>
      </c>
      <c r="AD66" s="39" t="str">
        <f t="shared" si="4"/>
        <v/>
      </c>
      <c r="AE66" s="39" t="str">
        <f t="shared" si="5"/>
        <v/>
      </c>
      <c r="AF66" s="70">
        <v>8</v>
      </c>
      <c r="AG66" s="70">
        <v>5</v>
      </c>
      <c r="AH66" s="70">
        <v>0</v>
      </c>
      <c r="AI66" s="74">
        <v>6</v>
      </c>
      <c r="AJ66" s="73">
        <v>6</v>
      </c>
      <c r="AK66" s="73">
        <v>8</v>
      </c>
      <c r="AL66" s="50" cm="1">
        <f t="array" ref="AL66">IF(AND(AF66:AK66="AB"),"AB",SUM(AF66:AK66))</f>
        <v>33</v>
      </c>
      <c r="AM66" s="70">
        <v>21</v>
      </c>
      <c r="AN66" s="70">
        <v>18</v>
      </c>
      <c r="AO66" s="70">
        <v>21</v>
      </c>
      <c r="AP66" s="74">
        <v>21</v>
      </c>
      <c r="AQ66" s="73">
        <v>18</v>
      </c>
      <c r="AR66" s="73">
        <v>21</v>
      </c>
      <c r="AS66" s="73">
        <v>17</v>
      </c>
      <c r="AT66" s="73">
        <v>18</v>
      </c>
      <c r="AU66" s="73">
        <v>18</v>
      </c>
      <c r="AV66" s="73">
        <v>18</v>
      </c>
      <c r="AW66" s="40" cm="1">
        <f t="array" ref="AW66">IF(AND(AM66:AV66="AB"),"AB",AVERAGE(AM66:AV66))</f>
        <v>19.100000000000001</v>
      </c>
      <c r="AX66" s="70">
        <v>21</v>
      </c>
      <c r="AY66" s="37"/>
      <c r="AZ66" s="37"/>
    </row>
    <row r="67" spans="1:52" s="17" customFormat="1" ht="18" customHeight="1" x14ac:dyDescent="0.3">
      <c r="A67" s="61">
        <v>58</v>
      </c>
      <c r="B67" s="62">
        <v>58</v>
      </c>
      <c r="C67" s="63" t="s">
        <v>107</v>
      </c>
      <c r="D67" s="63">
        <v>1914361190</v>
      </c>
      <c r="E67" s="66" t="s">
        <v>181</v>
      </c>
      <c r="F67" s="65">
        <v>4</v>
      </c>
      <c r="G67" s="65">
        <v>6</v>
      </c>
      <c r="H67" s="65">
        <v>7</v>
      </c>
      <c r="I67" s="36" cm="1">
        <f t="array" ref="I67">IF(AND(F67:H67="AB"),"AB",SUM(F67:H67))</f>
        <v>17</v>
      </c>
      <c r="J67" s="65">
        <v>4</v>
      </c>
      <c r="K67" s="65">
        <v>6</v>
      </c>
      <c r="L67" s="65">
        <v>7</v>
      </c>
      <c r="M67" s="36" cm="1">
        <f t="array" ref="M67">IF(AND(J67:L67="AB"),"AB",SUM(J67:L67))</f>
        <v>17</v>
      </c>
      <c r="N67" s="69"/>
      <c r="O67" s="63"/>
      <c r="P67" s="63"/>
      <c r="Q67" s="63"/>
      <c r="R67" s="63"/>
      <c r="S67" s="63"/>
      <c r="T67" s="70"/>
      <c r="U67" s="70"/>
      <c r="V67" s="74"/>
      <c r="W67" s="73"/>
      <c r="X67" s="73"/>
      <c r="Y67" s="38" cm="1">
        <f t="array" ref="Y67">IF(AND(U67:X67="AB"),"AB",SUM(U67:X67))</f>
        <v>0</v>
      </c>
      <c r="Z67" s="39" t="str">
        <f t="shared" si="0"/>
        <v/>
      </c>
      <c r="AA67" s="39" t="str">
        <f t="shared" si="1"/>
        <v/>
      </c>
      <c r="AB67" s="39" t="str">
        <f t="shared" si="2"/>
        <v/>
      </c>
      <c r="AC67" s="39" t="str">
        <f t="shared" si="3"/>
        <v/>
      </c>
      <c r="AD67" s="39" t="str">
        <f t="shared" si="4"/>
        <v/>
      </c>
      <c r="AE67" s="39" t="str">
        <f t="shared" si="5"/>
        <v/>
      </c>
      <c r="AF67" s="70">
        <v>0</v>
      </c>
      <c r="AG67" s="70">
        <v>0</v>
      </c>
      <c r="AH67" s="70">
        <v>0</v>
      </c>
      <c r="AI67" s="74">
        <v>4</v>
      </c>
      <c r="AJ67" s="73">
        <v>6</v>
      </c>
      <c r="AK67" s="73">
        <v>2.5</v>
      </c>
      <c r="AL67" s="50" cm="1">
        <f t="array" ref="AL67">IF(AND(AF67:AK67="AB"),"AB",SUM(AF67:AK67))</f>
        <v>12.5</v>
      </c>
      <c r="AM67" s="70">
        <v>18</v>
      </c>
      <c r="AN67" s="70">
        <v>19</v>
      </c>
      <c r="AO67" s="70">
        <v>19</v>
      </c>
      <c r="AP67" s="74">
        <v>18</v>
      </c>
      <c r="AQ67" s="73">
        <v>19</v>
      </c>
      <c r="AR67" s="73">
        <v>19</v>
      </c>
      <c r="AS67" s="73">
        <v>12</v>
      </c>
      <c r="AT67" s="73">
        <v>16</v>
      </c>
      <c r="AU67" s="73">
        <v>16</v>
      </c>
      <c r="AV67" s="73">
        <v>16</v>
      </c>
      <c r="AW67" s="40" cm="1">
        <f t="array" ref="AW67">IF(AND(AM67:AV67="AB"),"AB",AVERAGE(AM67:AV67))</f>
        <v>17.2</v>
      </c>
      <c r="AX67" s="70">
        <v>18</v>
      </c>
      <c r="AY67" s="37"/>
      <c r="AZ67" s="37"/>
    </row>
    <row r="68" spans="1:52" s="17" customFormat="1" ht="18" customHeight="1" x14ac:dyDescent="0.3">
      <c r="A68" s="61">
        <v>59</v>
      </c>
      <c r="B68" s="62">
        <v>59</v>
      </c>
      <c r="C68" s="63" t="s">
        <v>108</v>
      </c>
      <c r="D68" s="63">
        <v>1914361191</v>
      </c>
      <c r="E68" s="66" t="s">
        <v>182</v>
      </c>
      <c r="F68" s="65">
        <v>3</v>
      </c>
      <c r="G68" s="65">
        <v>6</v>
      </c>
      <c r="H68" s="65">
        <v>7</v>
      </c>
      <c r="I68" s="36" cm="1">
        <f t="array" ref="I68">IF(AND(F68:H68="AB"),"AB",SUM(F68:H68))</f>
        <v>16</v>
      </c>
      <c r="J68" s="65">
        <v>3</v>
      </c>
      <c r="K68" s="65">
        <v>6</v>
      </c>
      <c r="L68" s="65">
        <v>7</v>
      </c>
      <c r="M68" s="36" cm="1">
        <f t="array" ref="M68">IF(AND(J68:L68="AB"),"AB",SUM(J68:L68))</f>
        <v>16</v>
      </c>
      <c r="N68" s="69"/>
      <c r="O68" s="63"/>
      <c r="P68" s="63"/>
      <c r="Q68" s="63"/>
      <c r="R68" s="63"/>
      <c r="S68" s="63"/>
      <c r="T68" s="70"/>
      <c r="U68" s="70"/>
      <c r="V68" s="74"/>
      <c r="W68" s="73"/>
      <c r="X68" s="73"/>
      <c r="Y68" s="38" cm="1">
        <f t="array" ref="Y68">IF(AND(U68:X68="AB"),"AB",SUM(U68:X68))</f>
        <v>0</v>
      </c>
      <c r="Z68" s="39" t="str">
        <f t="shared" si="0"/>
        <v/>
      </c>
      <c r="AA68" s="39" t="str">
        <f t="shared" si="1"/>
        <v/>
      </c>
      <c r="AB68" s="39" t="str">
        <f t="shared" si="2"/>
        <v/>
      </c>
      <c r="AC68" s="39" t="str">
        <f t="shared" si="3"/>
        <v/>
      </c>
      <c r="AD68" s="39" t="str">
        <f t="shared" si="4"/>
        <v/>
      </c>
      <c r="AE68" s="39" t="str">
        <f t="shared" si="5"/>
        <v/>
      </c>
      <c r="AF68" s="70">
        <v>2</v>
      </c>
      <c r="AG68" s="70">
        <v>1.5</v>
      </c>
      <c r="AH68" s="70">
        <v>3.5</v>
      </c>
      <c r="AI68" s="74">
        <v>4.5</v>
      </c>
      <c r="AJ68" s="73">
        <v>7</v>
      </c>
      <c r="AK68" s="73">
        <v>5</v>
      </c>
      <c r="AL68" s="50" cm="1">
        <f t="array" ref="AL68">IF(AND(AF68:AK68="AB"),"AB",SUM(AF68:AK68))</f>
        <v>23.5</v>
      </c>
      <c r="AM68" s="70">
        <v>17</v>
      </c>
      <c r="AN68" s="70">
        <v>19</v>
      </c>
      <c r="AO68" s="70">
        <v>21</v>
      </c>
      <c r="AP68" s="74">
        <v>17</v>
      </c>
      <c r="AQ68" s="73">
        <v>19</v>
      </c>
      <c r="AR68" s="73">
        <v>21</v>
      </c>
      <c r="AS68" s="73">
        <v>10</v>
      </c>
      <c r="AT68" s="73">
        <v>10</v>
      </c>
      <c r="AU68" s="73">
        <v>10</v>
      </c>
      <c r="AV68" s="73">
        <v>10</v>
      </c>
      <c r="AW68" s="40" cm="1">
        <f t="array" ref="AW68">IF(AND(AM68:AV68="AB"),"AB",AVERAGE(AM68:AV68))</f>
        <v>15.4</v>
      </c>
      <c r="AX68" s="70">
        <v>17</v>
      </c>
      <c r="AY68" s="37"/>
      <c r="AZ68" s="37"/>
    </row>
    <row r="69" spans="1:52" s="17" customFormat="1" ht="18" customHeight="1" x14ac:dyDescent="0.3">
      <c r="A69" s="61">
        <v>60</v>
      </c>
      <c r="B69" s="62">
        <v>60</v>
      </c>
      <c r="C69" s="63" t="s">
        <v>109</v>
      </c>
      <c r="D69" s="63">
        <v>1914361192</v>
      </c>
      <c r="E69" s="66" t="s">
        <v>183</v>
      </c>
      <c r="F69" s="65">
        <v>2</v>
      </c>
      <c r="G69" s="65">
        <v>6</v>
      </c>
      <c r="H69" s="65">
        <v>7</v>
      </c>
      <c r="I69" s="36" cm="1">
        <f t="array" ref="I69">IF(AND(F69:H69="AB"),"AB",SUM(F69:H69))</f>
        <v>15</v>
      </c>
      <c r="J69" s="65">
        <v>2</v>
      </c>
      <c r="K69" s="65">
        <v>6</v>
      </c>
      <c r="L69" s="65">
        <v>7</v>
      </c>
      <c r="M69" s="36" cm="1">
        <f t="array" ref="M69">IF(AND(J69:L69="AB"),"AB",SUM(J69:L69))</f>
        <v>15</v>
      </c>
      <c r="N69" s="69"/>
      <c r="O69" s="63"/>
      <c r="P69" s="63"/>
      <c r="Q69" s="63"/>
      <c r="R69" s="63"/>
      <c r="S69" s="63"/>
      <c r="T69" s="70"/>
      <c r="U69" s="70"/>
      <c r="V69" s="74"/>
      <c r="W69" s="73"/>
      <c r="X69" s="73"/>
      <c r="Y69" s="38" cm="1">
        <f t="array" ref="Y69">IF(AND(U69:X69="AB"),"AB",SUM(U69:X69))</f>
        <v>0</v>
      </c>
      <c r="Z69" s="39" t="str">
        <f t="shared" si="0"/>
        <v/>
      </c>
      <c r="AA69" s="39" t="str">
        <f t="shared" si="1"/>
        <v/>
      </c>
      <c r="AB69" s="39" t="str">
        <f t="shared" si="2"/>
        <v/>
      </c>
      <c r="AC69" s="39" t="str">
        <f t="shared" si="3"/>
        <v/>
      </c>
      <c r="AD69" s="39" t="str">
        <f t="shared" si="4"/>
        <v/>
      </c>
      <c r="AE69" s="39" t="str">
        <f t="shared" si="5"/>
        <v/>
      </c>
      <c r="AF69" s="70">
        <v>0</v>
      </c>
      <c r="AG69" s="70">
        <v>1</v>
      </c>
      <c r="AH69" s="70">
        <v>1</v>
      </c>
      <c r="AI69" s="74">
        <v>0</v>
      </c>
      <c r="AJ69" s="73">
        <v>0</v>
      </c>
      <c r="AK69" s="73">
        <v>1</v>
      </c>
      <c r="AL69" s="50" cm="1">
        <f t="array" ref="AL69">IF(AND(AF69:AK69="AB"),"AB",SUM(AF69:AK69))</f>
        <v>3</v>
      </c>
      <c r="AM69" s="70">
        <v>21</v>
      </c>
      <c r="AN69" s="70">
        <v>19</v>
      </c>
      <c r="AO69" s="70">
        <v>14</v>
      </c>
      <c r="AP69" s="74">
        <v>21</v>
      </c>
      <c r="AQ69" s="73">
        <v>19</v>
      </c>
      <c r="AR69" s="73">
        <v>14</v>
      </c>
      <c r="AS69" s="73">
        <v>10</v>
      </c>
      <c r="AT69" s="73">
        <v>15</v>
      </c>
      <c r="AU69" s="73">
        <v>15</v>
      </c>
      <c r="AV69" s="73">
        <v>15</v>
      </c>
      <c r="AW69" s="40" cm="1">
        <f t="array" ref="AW69">IF(AND(AM69:AV69="AB"),"AB",AVERAGE(AM69:AV69))</f>
        <v>16.3</v>
      </c>
      <c r="AX69" s="70">
        <v>21</v>
      </c>
      <c r="AY69" s="37"/>
      <c r="AZ69" s="37"/>
    </row>
    <row r="70" spans="1:52" s="17" customFormat="1" ht="18" customHeight="1" x14ac:dyDescent="0.3">
      <c r="A70" s="61">
        <v>61</v>
      </c>
      <c r="B70" s="62">
        <v>61</v>
      </c>
      <c r="C70" s="63" t="s">
        <v>110</v>
      </c>
      <c r="D70" s="63">
        <v>1914361193</v>
      </c>
      <c r="E70" s="66" t="s">
        <v>184</v>
      </c>
      <c r="F70" s="65">
        <v>1</v>
      </c>
      <c r="G70" s="65">
        <v>6</v>
      </c>
      <c r="H70" s="65">
        <v>7</v>
      </c>
      <c r="I70" s="36" cm="1">
        <f t="array" ref="I70">IF(AND(F70:H70="AB"),"AB",SUM(F70:H70))</f>
        <v>14</v>
      </c>
      <c r="J70" s="65">
        <v>1</v>
      </c>
      <c r="K70" s="65">
        <v>6</v>
      </c>
      <c r="L70" s="65">
        <v>7</v>
      </c>
      <c r="M70" s="36" cm="1">
        <f t="array" ref="M70">IF(AND(J70:L70="AB"),"AB",SUM(J70:L70))</f>
        <v>14</v>
      </c>
      <c r="N70" s="69"/>
      <c r="O70" s="63"/>
      <c r="P70" s="63"/>
      <c r="Q70" s="63"/>
      <c r="R70" s="63"/>
      <c r="S70" s="63"/>
      <c r="T70" s="70"/>
      <c r="U70" s="70"/>
      <c r="V70" s="74"/>
      <c r="W70" s="73"/>
      <c r="X70" s="73"/>
      <c r="Y70" s="38" cm="1">
        <f t="array" ref="Y70">IF(AND(U70:X70="AB"),"AB",SUM(U70:X70))</f>
        <v>0</v>
      </c>
      <c r="Z70" s="39" t="str">
        <f t="shared" si="0"/>
        <v/>
      </c>
      <c r="AA70" s="39" t="str">
        <f t="shared" si="1"/>
        <v/>
      </c>
      <c r="AB70" s="39" t="str">
        <f t="shared" si="2"/>
        <v/>
      </c>
      <c r="AC70" s="39" t="str">
        <f t="shared" si="3"/>
        <v/>
      </c>
      <c r="AD70" s="39" t="str">
        <f t="shared" si="4"/>
        <v/>
      </c>
      <c r="AE70" s="39" t="str">
        <f t="shared" si="5"/>
        <v/>
      </c>
      <c r="AF70" s="70">
        <v>2.5</v>
      </c>
      <c r="AG70" s="70">
        <v>0</v>
      </c>
      <c r="AH70" s="70">
        <v>0.5</v>
      </c>
      <c r="AI70" s="74">
        <v>1</v>
      </c>
      <c r="AJ70" s="73">
        <v>6</v>
      </c>
      <c r="AK70" s="73">
        <v>4</v>
      </c>
      <c r="AL70" s="50" cm="1">
        <f t="array" ref="AL70">IF(AND(AF70:AK70="AB"),"AB",SUM(AF70:AK70))</f>
        <v>14</v>
      </c>
      <c r="AM70" s="70">
        <v>21</v>
      </c>
      <c r="AN70" s="70">
        <v>20</v>
      </c>
      <c r="AO70" s="70">
        <v>16</v>
      </c>
      <c r="AP70" s="74">
        <v>21</v>
      </c>
      <c r="AQ70" s="73">
        <v>20</v>
      </c>
      <c r="AR70" s="73">
        <v>16</v>
      </c>
      <c r="AS70" s="73">
        <v>16</v>
      </c>
      <c r="AT70" s="73">
        <v>16</v>
      </c>
      <c r="AU70" s="73">
        <v>16</v>
      </c>
      <c r="AV70" s="73">
        <v>16</v>
      </c>
      <c r="AW70" s="40" cm="1">
        <f t="array" ref="AW70">IF(AND(AM70:AV70="AB"),"AB",AVERAGE(AM70:AV70))</f>
        <v>17.8</v>
      </c>
      <c r="AX70" s="70">
        <v>21</v>
      </c>
      <c r="AY70" s="37"/>
      <c r="AZ70" s="37"/>
    </row>
    <row r="71" spans="1:52" s="17" customFormat="1" ht="18" customHeight="1" x14ac:dyDescent="0.3">
      <c r="A71" s="61">
        <v>62</v>
      </c>
      <c r="B71" s="62">
        <v>62</v>
      </c>
      <c r="C71" s="63" t="s">
        <v>111</v>
      </c>
      <c r="D71" s="63">
        <v>1914361194</v>
      </c>
      <c r="E71" s="66" t="s">
        <v>185</v>
      </c>
      <c r="F71" s="65">
        <v>0</v>
      </c>
      <c r="G71" s="65">
        <v>6</v>
      </c>
      <c r="H71" s="65">
        <v>7</v>
      </c>
      <c r="I71" s="36" cm="1">
        <f t="array" ref="I71">IF(AND(F71:H71="AB"),"AB",SUM(F71:H71))</f>
        <v>13</v>
      </c>
      <c r="J71" s="65">
        <v>0</v>
      </c>
      <c r="K71" s="65">
        <v>6</v>
      </c>
      <c r="L71" s="65">
        <v>7</v>
      </c>
      <c r="M71" s="36" cm="1">
        <f t="array" ref="M71">IF(AND(J71:L71="AB"),"AB",SUM(J71:L71))</f>
        <v>13</v>
      </c>
      <c r="N71" s="69"/>
      <c r="O71" s="63"/>
      <c r="P71" s="63"/>
      <c r="Q71" s="63"/>
      <c r="R71" s="63"/>
      <c r="S71" s="63"/>
      <c r="T71" s="70"/>
      <c r="U71" s="70"/>
      <c r="V71" s="74"/>
      <c r="W71" s="73"/>
      <c r="X71" s="73"/>
      <c r="Y71" s="38" cm="1">
        <f t="array" ref="Y71">IF(AND(U71:X71="AB"),"AB",SUM(U71:X71))</f>
        <v>0</v>
      </c>
      <c r="Z71" s="39" t="str">
        <f t="shared" si="0"/>
        <v/>
      </c>
      <c r="AA71" s="39" t="str">
        <f t="shared" si="1"/>
        <v/>
      </c>
      <c r="AB71" s="39" t="str">
        <f t="shared" si="2"/>
        <v/>
      </c>
      <c r="AC71" s="39" t="str">
        <f t="shared" si="3"/>
        <v/>
      </c>
      <c r="AD71" s="39" t="str">
        <f t="shared" si="4"/>
        <v/>
      </c>
      <c r="AE71" s="39" t="str">
        <f t="shared" si="5"/>
        <v/>
      </c>
      <c r="AF71" s="70">
        <v>1</v>
      </c>
      <c r="AG71" s="70">
        <v>0</v>
      </c>
      <c r="AH71" s="70">
        <v>0</v>
      </c>
      <c r="AI71" s="74">
        <v>0</v>
      </c>
      <c r="AJ71" s="73">
        <v>0</v>
      </c>
      <c r="AK71" s="73">
        <v>3</v>
      </c>
      <c r="AL71" s="50" cm="1">
        <f t="array" ref="AL71">IF(AND(AF71:AK71="AB"),"AB",SUM(AF71:AK71))</f>
        <v>4</v>
      </c>
      <c r="AM71" s="70">
        <v>19</v>
      </c>
      <c r="AN71" s="70">
        <v>18</v>
      </c>
      <c r="AO71" s="70">
        <v>13</v>
      </c>
      <c r="AP71" s="74">
        <v>19</v>
      </c>
      <c r="AQ71" s="73">
        <v>18</v>
      </c>
      <c r="AR71" s="73">
        <v>13</v>
      </c>
      <c r="AS71" s="73">
        <v>17</v>
      </c>
      <c r="AT71" s="73">
        <v>15</v>
      </c>
      <c r="AU71" s="73">
        <v>15</v>
      </c>
      <c r="AV71" s="73">
        <v>15</v>
      </c>
      <c r="AW71" s="40" cm="1">
        <f t="array" ref="AW71">IF(AND(AM71:AV71="AB"),"AB",AVERAGE(AM71:AV71))</f>
        <v>16.2</v>
      </c>
      <c r="AX71" s="70">
        <v>19</v>
      </c>
      <c r="AY71" s="37"/>
      <c r="AZ71" s="37"/>
    </row>
    <row r="72" spans="1:52" s="17" customFormat="1" ht="18" customHeight="1" x14ac:dyDescent="0.3">
      <c r="A72" s="61">
        <v>63</v>
      </c>
      <c r="B72" s="62">
        <v>63</v>
      </c>
      <c r="C72" s="63" t="s">
        <v>112</v>
      </c>
      <c r="D72" s="63">
        <v>1914361195</v>
      </c>
      <c r="E72" s="66" t="s">
        <v>186</v>
      </c>
      <c r="F72" s="65" t="s">
        <v>10</v>
      </c>
      <c r="G72" s="65">
        <v>6</v>
      </c>
      <c r="H72" s="65">
        <v>7</v>
      </c>
      <c r="I72" s="36" cm="1">
        <f t="array" ref="I72">IF(AND(F72:H72="AB"),"AB",SUM(F72:H72))</f>
        <v>13</v>
      </c>
      <c r="J72" s="65" t="s">
        <v>10</v>
      </c>
      <c r="K72" s="65">
        <v>6</v>
      </c>
      <c r="L72" s="65">
        <v>7</v>
      </c>
      <c r="M72" s="36" cm="1">
        <f t="array" ref="M72">IF(AND(J72:L72="AB"),"AB",SUM(J72:L72))</f>
        <v>13</v>
      </c>
      <c r="N72" s="69"/>
      <c r="O72" s="63"/>
      <c r="P72" s="63"/>
      <c r="Q72" s="63"/>
      <c r="R72" s="63"/>
      <c r="S72" s="63"/>
      <c r="T72" s="70"/>
      <c r="U72" s="70"/>
      <c r="V72" s="74"/>
      <c r="W72" s="73"/>
      <c r="X72" s="73"/>
      <c r="Y72" s="38" cm="1">
        <f t="array" ref="Y72">IF(AND(U72:X72="AB"),"AB",SUM(U72:X72))</f>
        <v>0</v>
      </c>
      <c r="Z72" s="39" t="str">
        <f t="shared" si="0"/>
        <v/>
      </c>
      <c r="AA72" s="39" t="str">
        <f t="shared" si="1"/>
        <v/>
      </c>
      <c r="AB72" s="39" t="str">
        <f t="shared" si="2"/>
        <v/>
      </c>
      <c r="AC72" s="39" t="str">
        <f t="shared" si="3"/>
        <v/>
      </c>
      <c r="AD72" s="39" t="str">
        <f t="shared" si="4"/>
        <v/>
      </c>
      <c r="AE72" s="39" t="str">
        <f t="shared" si="5"/>
        <v/>
      </c>
      <c r="AF72" s="70">
        <v>8</v>
      </c>
      <c r="AG72" s="70">
        <v>8</v>
      </c>
      <c r="AH72" s="70">
        <v>6</v>
      </c>
      <c r="AI72" s="74">
        <v>8</v>
      </c>
      <c r="AJ72" s="73">
        <v>9</v>
      </c>
      <c r="AK72" s="73">
        <v>9</v>
      </c>
      <c r="AL72" s="50" cm="1">
        <f t="array" ref="AL72">IF(AND(AF72:AK72="AB"),"AB",SUM(AF72:AK72))</f>
        <v>48</v>
      </c>
      <c r="AM72" s="70">
        <v>21</v>
      </c>
      <c r="AN72" s="70">
        <v>18</v>
      </c>
      <c r="AO72" s="70">
        <v>18</v>
      </c>
      <c r="AP72" s="74">
        <v>21</v>
      </c>
      <c r="AQ72" s="73">
        <v>18</v>
      </c>
      <c r="AR72" s="73">
        <v>18</v>
      </c>
      <c r="AS72" s="73">
        <v>18</v>
      </c>
      <c r="AT72" s="73">
        <v>17</v>
      </c>
      <c r="AU72" s="73">
        <v>17</v>
      </c>
      <c r="AV72" s="73">
        <v>17</v>
      </c>
      <c r="AW72" s="40" cm="1">
        <f t="array" ref="AW72">IF(AND(AM72:AV72="AB"),"AB",AVERAGE(AM72:AV72))</f>
        <v>18.3</v>
      </c>
      <c r="AX72" s="70">
        <v>21</v>
      </c>
      <c r="AY72" s="37"/>
      <c r="AZ72" s="37"/>
    </row>
    <row r="73" spans="1:52" s="17" customFormat="1" ht="18" customHeight="1" x14ac:dyDescent="0.3">
      <c r="A73" s="61">
        <v>64</v>
      </c>
      <c r="B73" s="62">
        <v>64</v>
      </c>
      <c r="C73" s="63" t="s">
        <v>113</v>
      </c>
      <c r="D73" s="63">
        <v>1914361196</v>
      </c>
      <c r="E73" s="66" t="s">
        <v>187</v>
      </c>
      <c r="F73" s="65">
        <v>7</v>
      </c>
      <c r="G73" s="65">
        <v>6</v>
      </c>
      <c r="H73" s="65">
        <v>7</v>
      </c>
      <c r="I73" s="36" cm="1">
        <f t="array" ref="I73">IF(AND(F73:H73="AB"),"AB",SUM(F73:H73))</f>
        <v>20</v>
      </c>
      <c r="J73" s="65">
        <v>7</v>
      </c>
      <c r="K73" s="65">
        <v>6</v>
      </c>
      <c r="L73" s="65">
        <v>7</v>
      </c>
      <c r="M73" s="36" cm="1">
        <f t="array" ref="M73">IF(AND(J73:L73="AB"),"AB",SUM(J73:L73))</f>
        <v>20</v>
      </c>
      <c r="N73" s="69"/>
      <c r="O73" s="63"/>
      <c r="P73" s="63"/>
      <c r="Q73" s="63"/>
      <c r="R73" s="63"/>
      <c r="S73" s="63"/>
      <c r="T73" s="70"/>
      <c r="U73" s="70"/>
      <c r="V73" s="74"/>
      <c r="W73" s="73"/>
      <c r="X73" s="73"/>
      <c r="Y73" s="38" cm="1">
        <f t="array" ref="Y73">IF(AND(U73:X73="AB"),"AB",SUM(U73:X73))</f>
        <v>0</v>
      </c>
      <c r="Z73" s="39" t="str">
        <f t="shared" si="0"/>
        <v/>
      </c>
      <c r="AA73" s="39" t="str">
        <f t="shared" si="1"/>
        <v/>
      </c>
      <c r="AB73" s="39" t="str">
        <f t="shared" si="2"/>
        <v/>
      </c>
      <c r="AC73" s="39" t="str">
        <f t="shared" si="3"/>
        <v/>
      </c>
      <c r="AD73" s="39" t="str">
        <f t="shared" si="4"/>
        <v/>
      </c>
      <c r="AE73" s="39" t="str">
        <f t="shared" si="5"/>
        <v/>
      </c>
      <c r="AF73" s="70">
        <v>9</v>
      </c>
      <c r="AG73" s="70">
        <v>9</v>
      </c>
      <c r="AH73" s="70">
        <v>8</v>
      </c>
      <c r="AI73" s="74">
        <v>8</v>
      </c>
      <c r="AJ73" s="73">
        <v>9</v>
      </c>
      <c r="AK73" s="73">
        <v>9</v>
      </c>
      <c r="AL73" s="50" cm="1">
        <f t="array" ref="AL73">IF(AND(AF73:AK73="AB"),"AB",SUM(AF73:AK73))</f>
        <v>52</v>
      </c>
      <c r="AM73" s="70">
        <v>14</v>
      </c>
      <c r="AN73" s="70">
        <v>18</v>
      </c>
      <c r="AO73" s="70">
        <v>17</v>
      </c>
      <c r="AP73" s="74">
        <v>14</v>
      </c>
      <c r="AQ73" s="73">
        <v>18</v>
      </c>
      <c r="AR73" s="73">
        <v>17</v>
      </c>
      <c r="AS73" s="73">
        <v>16</v>
      </c>
      <c r="AT73" s="73">
        <v>17</v>
      </c>
      <c r="AU73" s="73">
        <v>17</v>
      </c>
      <c r="AV73" s="73">
        <v>17</v>
      </c>
      <c r="AW73" s="40" cm="1">
        <f t="array" ref="AW73">IF(AND(AM73:AV73="AB"),"AB",AVERAGE(AM73:AV73))</f>
        <v>16.5</v>
      </c>
      <c r="AX73" s="70">
        <v>14</v>
      </c>
      <c r="AY73" s="37"/>
      <c r="AZ73" s="37"/>
    </row>
    <row r="74" spans="1:52" s="17" customFormat="1" ht="18" customHeight="1" x14ac:dyDescent="0.3">
      <c r="A74" s="61">
        <v>65</v>
      </c>
      <c r="B74" s="62">
        <v>65</v>
      </c>
      <c r="C74" s="63" t="s">
        <v>114</v>
      </c>
      <c r="D74" s="63">
        <v>1914361197</v>
      </c>
      <c r="E74" s="66" t="s">
        <v>188</v>
      </c>
      <c r="F74" s="65">
        <v>6</v>
      </c>
      <c r="G74" s="65">
        <v>6</v>
      </c>
      <c r="H74" s="65">
        <v>7</v>
      </c>
      <c r="I74" s="36" cm="1">
        <f t="array" ref="I74">IF(AND(F74:H74="AB"),"AB",SUM(F74:H74))</f>
        <v>19</v>
      </c>
      <c r="J74" s="65">
        <v>6</v>
      </c>
      <c r="K74" s="65">
        <v>6</v>
      </c>
      <c r="L74" s="65">
        <v>7</v>
      </c>
      <c r="M74" s="36" cm="1">
        <f t="array" ref="M74">IF(AND(J74:L74="AB"),"AB",SUM(J74:L74))</f>
        <v>19</v>
      </c>
      <c r="N74" s="69"/>
      <c r="O74" s="63"/>
      <c r="P74" s="63"/>
      <c r="Q74" s="63"/>
      <c r="R74" s="63"/>
      <c r="S74" s="63"/>
      <c r="T74" s="70"/>
      <c r="U74" s="74"/>
      <c r="V74" s="73"/>
      <c r="W74" s="73"/>
      <c r="X74" s="73"/>
      <c r="Y74" s="38" cm="1">
        <f t="array" ref="Y74">IF(AND(U74:X74="AB"),"AB",SUM(U74:X74))</f>
        <v>0</v>
      </c>
      <c r="Z74" s="39" t="str">
        <f t="shared" si="0"/>
        <v/>
      </c>
      <c r="AA74" s="39" t="str">
        <f t="shared" si="1"/>
        <v/>
      </c>
      <c r="AB74" s="39" t="str">
        <f t="shared" si="2"/>
        <v/>
      </c>
      <c r="AC74" s="39" t="str">
        <f t="shared" si="3"/>
        <v/>
      </c>
      <c r="AD74" s="39" t="str">
        <f t="shared" si="4"/>
        <v/>
      </c>
      <c r="AE74" s="39" t="str">
        <f t="shared" si="5"/>
        <v/>
      </c>
      <c r="AF74" s="70">
        <v>7</v>
      </c>
      <c r="AG74" s="70">
        <v>8</v>
      </c>
      <c r="AH74" s="70">
        <v>8</v>
      </c>
      <c r="AI74" s="74">
        <v>4</v>
      </c>
      <c r="AJ74" s="73">
        <v>7</v>
      </c>
      <c r="AK74" s="73">
        <v>8</v>
      </c>
      <c r="AL74" s="50" cm="1">
        <f t="array" ref="AL74">IF(AND(AF74:AK74="AB"),"AB",SUM(AF74:AK74))</f>
        <v>42</v>
      </c>
      <c r="AM74" s="70">
        <v>16</v>
      </c>
      <c r="AN74" s="70">
        <v>18</v>
      </c>
      <c r="AO74" s="70">
        <v>12</v>
      </c>
      <c r="AP74" s="74">
        <v>16</v>
      </c>
      <c r="AQ74" s="73">
        <v>18</v>
      </c>
      <c r="AR74" s="73">
        <v>12</v>
      </c>
      <c r="AS74" s="73">
        <v>16</v>
      </c>
      <c r="AT74" s="73">
        <v>19</v>
      </c>
      <c r="AU74" s="73">
        <v>19</v>
      </c>
      <c r="AV74" s="73">
        <v>19</v>
      </c>
      <c r="AW74" s="40" cm="1">
        <f t="array" ref="AW74">IF(AND(AM74:AV74="AB"),"AB",AVERAGE(AM74:AV74))</f>
        <v>16.5</v>
      </c>
      <c r="AX74" s="70">
        <v>16</v>
      </c>
      <c r="AY74" s="37"/>
      <c r="AZ74" s="37"/>
    </row>
    <row r="75" spans="1:52" s="17" customFormat="1" ht="18" customHeight="1" x14ac:dyDescent="0.3">
      <c r="A75" s="61">
        <v>66</v>
      </c>
      <c r="B75" s="62">
        <v>66</v>
      </c>
      <c r="C75" s="67" t="s">
        <v>115</v>
      </c>
      <c r="D75" s="67">
        <v>1914361198</v>
      </c>
      <c r="E75" s="68" t="s">
        <v>189</v>
      </c>
      <c r="F75" s="65">
        <v>5</v>
      </c>
      <c r="G75" s="65">
        <v>6</v>
      </c>
      <c r="H75" s="65">
        <v>7</v>
      </c>
      <c r="I75" s="36" cm="1">
        <f t="array" ref="I75">IF(AND(F75:H75="AB"),"AB",SUM(F75:H75))</f>
        <v>18</v>
      </c>
      <c r="J75" s="65">
        <v>5</v>
      </c>
      <c r="K75" s="65">
        <v>6</v>
      </c>
      <c r="L75" s="65">
        <v>7</v>
      </c>
      <c r="M75" s="36" cm="1">
        <f t="array" ref="M75">IF(AND(J75:L75="AB"),"AB",SUM(J75:L75))</f>
        <v>18</v>
      </c>
      <c r="N75" s="69"/>
      <c r="O75" s="63"/>
      <c r="P75" s="63"/>
      <c r="Q75" s="63"/>
      <c r="R75" s="63"/>
      <c r="S75" s="63"/>
      <c r="T75" s="70"/>
      <c r="U75" s="74"/>
      <c r="V75" s="73"/>
      <c r="W75" s="73"/>
      <c r="X75" s="73"/>
      <c r="Y75" s="38" cm="1">
        <f t="array" ref="Y75">IF(AND(U75:X75="AB"),"AB",SUM(U75:X75))</f>
        <v>0</v>
      </c>
      <c r="Z75" s="39" t="str">
        <f t="shared" ref="Z75:Z82" si="6">IF(O75="","",Y75)</f>
        <v/>
      </c>
      <c r="AA75" s="39" t="str">
        <f t="shared" ref="AA75:AA82" si="7">IF(P75="","",Y75)</f>
        <v/>
      </c>
      <c r="AB75" s="39" t="str">
        <f t="shared" ref="AB75:AB82" si="8">IF(Q75="","",Y75)</f>
        <v/>
      </c>
      <c r="AC75" s="39" t="str">
        <f t="shared" ref="AC75:AC82" si="9">IF(R75="","",Y75)</f>
        <v/>
      </c>
      <c r="AD75" s="39" t="str">
        <f t="shared" ref="AD75:AD82" si="10">IF(S75="","",Y75)</f>
        <v/>
      </c>
      <c r="AE75" s="39" t="str">
        <f t="shared" ref="AE75:AE82" si="11">IF(T75="","",Y75)</f>
        <v/>
      </c>
      <c r="AF75" s="70">
        <v>5</v>
      </c>
      <c r="AG75" s="70">
        <v>7</v>
      </c>
      <c r="AH75" s="70">
        <v>3</v>
      </c>
      <c r="AI75" s="74">
        <v>6</v>
      </c>
      <c r="AJ75" s="73">
        <v>4</v>
      </c>
      <c r="AK75" s="73">
        <v>7</v>
      </c>
      <c r="AL75" s="50" cm="1">
        <f t="array" ref="AL75">IF(AND(AF75:AK75="AB"),"AB",SUM(AF75:AK75))</f>
        <v>32</v>
      </c>
      <c r="AM75" s="70">
        <v>13</v>
      </c>
      <c r="AN75" s="70">
        <v>15</v>
      </c>
      <c r="AO75" s="70">
        <v>10</v>
      </c>
      <c r="AP75" s="74">
        <v>13</v>
      </c>
      <c r="AQ75" s="73">
        <v>15</v>
      </c>
      <c r="AR75" s="73">
        <v>10</v>
      </c>
      <c r="AS75" s="73">
        <v>17</v>
      </c>
      <c r="AT75" s="73">
        <v>15</v>
      </c>
      <c r="AU75" s="73">
        <v>15</v>
      </c>
      <c r="AV75" s="73">
        <v>15</v>
      </c>
      <c r="AW75" s="40" cm="1">
        <f t="array" ref="AW75">IF(AND(AM75:AV75="AB"),"AB",AVERAGE(AM75:AV75))</f>
        <v>13.8</v>
      </c>
      <c r="AX75" s="70">
        <v>13</v>
      </c>
      <c r="AY75" s="37"/>
      <c r="AZ75" s="37"/>
    </row>
    <row r="76" spans="1:52" s="17" customFormat="1" ht="18" customHeight="1" x14ac:dyDescent="0.3">
      <c r="A76" s="61">
        <v>67</v>
      </c>
      <c r="B76" s="62">
        <v>67</v>
      </c>
      <c r="C76" s="67" t="s">
        <v>116</v>
      </c>
      <c r="D76" s="67">
        <v>1914361199</v>
      </c>
      <c r="E76" s="68" t="s">
        <v>190</v>
      </c>
      <c r="F76" s="65">
        <v>4</v>
      </c>
      <c r="G76" s="65">
        <v>6</v>
      </c>
      <c r="H76" s="65">
        <v>7</v>
      </c>
      <c r="I76" s="36" cm="1">
        <f t="array" ref="I76">IF(AND(F76:H76="AB"),"AB",SUM(F76:H76))</f>
        <v>17</v>
      </c>
      <c r="J76" s="65">
        <v>4</v>
      </c>
      <c r="K76" s="65">
        <v>6</v>
      </c>
      <c r="L76" s="65">
        <v>7</v>
      </c>
      <c r="M76" s="36" cm="1">
        <f t="array" ref="M76">IF(AND(J76:L76="AB"),"AB",SUM(J76:L76))</f>
        <v>17</v>
      </c>
      <c r="N76" s="69"/>
      <c r="O76" s="63"/>
      <c r="P76" s="63"/>
      <c r="Q76" s="63"/>
      <c r="R76" s="63"/>
      <c r="S76" s="63"/>
      <c r="T76" s="70"/>
      <c r="U76" s="70"/>
      <c r="V76" s="70"/>
      <c r="W76" s="73"/>
      <c r="X76" s="73"/>
      <c r="Y76" s="38" cm="1">
        <f t="array" ref="Y76">IF(AND(U76:X76="AB"),"AB",SUM(U76:X76))</f>
        <v>0</v>
      </c>
      <c r="Z76" s="39" t="str">
        <f t="shared" si="6"/>
        <v/>
      </c>
      <c r="AA76" s="39" t="str">
        <f t="shared" si="7"/>
        <v/>
      </c>
      <c r="AB76" s="39" t="str">
        <f t="shared" si="8"/>
        <v/>
      </c>
      <c r="AC76" s="39" t="str">
        <f t="shared" si="9"/>
        <v/>
      </c>
      <c r="AD76" s="39" t="str">
        <f t="shared" si="10"/>
        <v/>
      </c>
      <c r="AE76" s="39" t="str">
        <f t="shared" si="11"/>
        <v/>
      </c>
      <c r="AF76" s="70">
        <v>8</v>
      </c>
      <c r="AG76" s="70">
        <v>5</v>
      </c>
      <c r="AH76" s="70">
        <v>0</v>
      </c>
      <c r="AI76" s="74">
        <v>6</v>
      </c>
      <c r="AJ76" s="73">
        <v>6</v>
      </c>
      <c r="AK76" s="73">
        <v>8</v>
      </c>
      <c r="AL76" s="50" cm="1">
        <f t="array" ref="AL76">IF(AND(AF76:AK76="AB"),"AB",SUM(AF76:AK76))</f>
        <v>33</v>
      </c>
      <c r="AM76" s="70">
        <v>18</v>
      </c>
      <c r="AN76" s="70">
        <v>16</v>
      </c>
      <c r="AO76" s="70">
        <v>10</v>
      </c>
      <c r="AP76" s="74">
        <v>18</v>
      </c>
      <c r="AQ76" s="73">
        <v>16</v>
      </c>
      <c r="AR76" s="73">
        <v>10</v>
      </c>
      <c r="AS76" s="73">
        <v>17</v>
      </c>
      <c r="AT76" s="73">
        <v>16</v>
      </c>
      <c r="AU76" s="73">
        <v>16</v>
      </c>
      <c r="AV76" s="73">
        <v>16</v>
      </c>
      <c r="AW76" s="40" cm="1">
        <f t="array" ref="AW76">IF(AND(AM76:AV76="AB"),"AB",AVERAGE(AM76:AV76))</f>
        <v>15.3</v>
      </c>
      <c r="AX76" s="70">
        <v>18</v>
      </c>
      <c r="AY76" s="37"/>
      <c r="AZ76" s="37"/>
    </row>
    <row r="77" spans="1:52" s="17" customFormat="1" ht="18" customHeight="1" x14ac:dyDescent="0.3">
      <c r="A77" s="61">
        <v>68</v>
      </c>
      <c r="B77" s="62">
        <v>68</v>
      </c>
      <c r="C77" s="63" t="s">
        <v>117</v>
      </c>
      <c r="D77" s="63">
        <v>1914361200</v>
      </c>
      <c r="E77" s="66" t="s">
        <v>191</v>
      </c>
      <c r="F77" s="65">
        <v>3</v>
      </c>
      <c r="G77" s="65">
        <v>6</v>
      </c>
      <c r="H77" s="65">
        <v>7</v>
      </c>
      <c r="I77" s="36" cm="1">
        <f t="array" ref="I77">IF(AND(F77:H77="AB"),"AB",SUM(F77:H77))</f>
        <v>16</v>
      </c>
      <c r="J77" s="65">
        <v>3</v>
      </c>
      <c r="K77" s="65">
        <v>6</v>
      </c>
      <c r="L77" s="65">
        <v>7</v>
      </c>
      <c r="M77" s="36" cm="1">
        <f t="array" ref="M77">IF(AND(J77:L77="AB"),"AB",SUM(J77:L77))</f>
        <v>16</v>
      </c>
      <c r="N77" s="69"/>
      <c r="O77" s="63"/>
      <c r="P77" s="63"/>
      <c r="Q77" s="63"/>
      <c r="R77" s="63"/>
      <c r="S77" s="63"/>
      <c r="T77" s="70"/>
      <c r="U77" s="74"/>
      <c r="V77" s="73"/>
      <c r="W77" s="73"/>
      <c r="X77" s="73"/>
      <c r="Y77" s="38" cm="1">
        <f t="array" ref="Y77">IF(AND(U77:X77="AB"),"AB",SUM(U77:X77))</f>
        <v>0</v>
      </c>
      <c r="Z77" s="39" t="str">
        <f t="shared" si="6"/>
        <v/>
      </c>
      <c r="AA77" s="39" t="str">
        <f t="shared" si="7"/>
        <v/>
      </c>
      <c r="AB77" s="39" t="str">
        <f t="shared" si="8"/>
        <v/>
      </c>
      <c r="AC77" s="39" t="str">
        <f t="shared" si="9"/>
        <v/>
      </c>
      <c r="AD77" s="39" t="str">
        <f t="shared" si="10"/>
        <v/>
      </c>
      <c r="AE77" s="39" t="str">
        <f t="shared" si="11"/>
        <v/>
      </c>
      <c r="AF77" s="70">
        <v>0</v>
      </c>
      <c r="AG77" s="70">
        <v>0</v>
      </c>
      <c r="AH77" s="70">
        <v>0</v>
      </c>
      <c r="AI77" s="74">
        <v>4</v>
      </c>
      <c r="AJ77" s="73">
        <v>6</v>
      </c>
      <c r="AK77" s="73">
        <v>2.5</v>
      </c>
      <c r="AL77" s="50" cm="1">
        <f t="array" ref="AL77">IF(AND(AF77:AK77="AB"),"AB",SUM(AF77:AK77))</f>
        <v>12.5</v>
      </c>
      <c r="AM77" s="70">
        <v>17</v>
      </c>
      <c r="AN77" s="70">
        <v>18</v>
      </c>
      <c r="AO77" s="70">
        <v>16</v>
      </c>
      <c r="AP77" s="74">
        <v>17</v>
      </c>
      <c r="AQ77" s="73">
        <v>18</v>
      </c>
      <c r="AR77" s="73">
        <v>16</v>
      </c>
      <c r="AS77" s="73">
        <v>21</v>
      </c>
      <c r="AT77" s="73">
        <v>18</v>
      </c>
      <c r="AU77" s="73">
        <v>18</v>
      </c>
      <c r="AV77" s="73">
        <v>18</v>
      </c>
      <c r="AW77" s="40" cm="1">
        <f t="array" ref="AW77">IF(AND(AM77:AV77="AB"),"AB",AVERAGE(AM77:AV77))</f>
        <v>17.7</v>
      </c>
      <c r="AX77" s="70">
        <v>17</v>
      </c>
      <c r="AY77" s="37"/>
      <c r="AZ77" s="37"/>
    </row>
    <row r="78" spans="1:52" s="17" customFormat="1" ht="18" customHeight="1" x14ac:dyDescent="0.3">
      <c r="A78" s="61">
        <v>69</v>
      </c>
      <c r="B78" s="62">
        <v>69</v>
      </c>
      <c r="C78" s="63" t="s">
        <v>118</v>
      </c>
      <c r="D78" s="63">
        <v>1914361201</v>
      </c>
      <c r="E78" s="66" t="s">
        <v>192</v>
      </c>
      <c r="F78" s="65">
        <v>2</v>
      </c>
      <c r="G78" s="65">
        <v>6</v>
      </c>
      <c r="H78" s="65">
        <v>7</v>
      </c>
      <c r="I78" s="36" cm="1">
        <f t="array" ref="I78">IF(AND(F78:H78="AB"),"AB",SUM(F78:H78))</f>
        <v>15</v>
      </c>
      <c r="J78" s="65">
        <v>2</v>
      </c>
      <c r="K78" s="65">
        <v>6</v>
      </c>
      <c r="L78" s="65">
        <v>7</v>
      </c>
      <c r="M78" s="36" cm="1">
        <f t="array" ref="M78">IF(AND(J78:L78="AB"),"AB",SUM(J78:L78))</f>
        <v>15</v>
      </c>
      <c r="N78" s="69"/>
      <c r="O78" s="63"/>
      <c r="P78" s="63"/>
      <c r="Q78" s="63"/>
      <c r="R78" s="63"/>
      <c r="S78" s="63"/>
      <c r="T78" s="70"/>
      <c r="U78" s="74"/>
      <c r="V78" s="73"/>
      <c r="W78" s="73"/>
      <c r="X78" s="73"/>
      <c r="Y78" s="38" cm="1">
        <f t="array" ref="Y78">IF(AND(U78:X78="AB"),"AB",SUM(U78:X78))</f>
        <v>0</v>
      </c>
      <c r="Z78" s="39" t="str">
        <f t="shared" si="6"/>
        <v/>
      </c>
      <c r="AA78" s="39" t="str">
        <f t="shared" si="7"/>
        <v/>
      </c>
      <c r="AB78" s="39" t="str">
        <f t="shared" si="8"/>
        <v/>
      </c>
      <c r="AC78" s="39" t="str">
        <f t="shared" si="9"/>
        <v/>
      </c>
      <c r="AD78" s="39" t="str">
        <f t="shared" si="10"/>
        <v/>
      </c>
      <c r="AE78" s="39" t="str">
        <f t="shared" si="11"/>
        <v/>
      </c>
      <c r="AF78" s="70">
        <v>2</v>
      </c>
      <c r="AG78" s="70">
        <v>1.5</v>
      </c>
      <c r="AH78" s="70">
        <v>3.5</v>
      </c>
      <c r="AI78" s="74">
        <v>4.5</v>
      </c>
      <c r="AJ78" s="73">
        <v>7</v>
      </c>
      <c r="AK78" s="73">
        <v>5</v>
      </c>
      <c r="AL78" s="50" cm="1">
        <f t="array" ref="AL78">IF(AND(AF78:AK78="AB"),"AB",SUM(AF78:AK78))</f>
        <v>23.5</v>
      </c>
      <c r="AM78" s="70" t="s">
        <v>10</v>
      </c>
      <c r="AN78" s="70" t="s">
        <v>10</v>
      </c>
      <c r="AO78" s="70" t="s">
        <v>10</v>
      </c>
      <c r="AP78" s="74" t="s">
        <v>10</v>
      </c>
      <c r="AQ78" s="73" t="s">
        <v>10</v>
      </c>
      <c r="AR78" s="73" t="s">
        <v>10</v>
      </c>
      <c r="AS78" s="73" t="s">
        <v>10</v>
      </c>
      <c r="AT78" s="73" t="s">
        <v>10</v>
      </c>
      <c r="AU78" s="73" t="s">
        <v>10</v>
      </c>
      <c r="AV78" s="73" t="s">
        <v>10</v>
      </c>
      <c r="AW78" s="40" t="str" cm="1">
        <f t="array" ref="AW78">IF(AND(AM78:AV78="AB"),"AB",AVERAGE(AM78:AV78))</f>
        <v>AB</v>
      </c>
      <c r="AX78" s="70">
        <v>12</v>
      </c>
      <c r="AY78" s="37"/>
      <c r="AZ78" s="37"/>
    </row>
    <row r="79" spans="1:52" s="17" customFormat="1" ht="18" customHeight="1" x14ac:dyDescent="0.3">
      <c r="A79" s="61">
        <v>70</v>
      </c>
      <c r="B79" s="62">
        <v>70</v>
      </c>
      <c r="C79" s="63" t="s">
        <v>119</v>
      </c>
      <c r="D79" s="63">
        <v>1914361202</v>
      </c>
      <c r="E79" s="66" t="s">
        <v>193</v>
      </c>
      <c r="F79" s="65">
        <v>1</v>
      </c>
      <c r="G79" s="65">
        <v>6</v>
      </c>
      <c r="H79" s="65">
        <v>7</v>
      </c>
      <c r="I79" s="36" cm="1">
        <f t="array" ref="I79">IF(AND(F79:H79="AB"),"AB",SUM(F79:H79))</f>
        <v>14</v>
      </c>
      <c r="J79" s="65">
        <v>1</v>
      </c>
      <c r="K79" s="65">
        <v>6</v>
      </c>
      <c r="L79" s="65">
        <v>7</v>
      </c>
      <c r="M79" s="36" cm="1">
        <f t="array" ref="M79">IF(AND(J79:L79="AB"),"AB",SUM(J79:L79))</f>
        <v>14</v>
      </c>
      <c r="N79" s="69"/>
      <c r="O79" s="63"/>
      <c r="P79" s="63"/>
      <c r="Q79" s="63"/>
      <c r="R79" s="63"/>
      <c r="S79" s="63"/>
      <c r="T79" s="70"/>
      <c r="U79" s="74"/>
      <c r="V79" s="73"/>
      <c r="W79" s="73"/>
      <c r="X79" s="73"/>
      <c r="Y79" s="38" cm="1">
        <f t="array" ref="Y79">IF(AND(U79:X79="AB"),"AB",SUM(U79:X79))</f>
        <v>0</v>
      </c>
      <c r="Z79" s="39" t="str">
        <f t="shared" si="6"/>
        <v/>
      </c>
      <c r="AA79" s="39" t="str">
        <f t="shared" si="7"/>
        <v/>
      </c>
      <c r="AB79" s="39" t="str">
        <f t="shared" si="8"/>
        <v/>
      </c>
      <c r="AC79" s="39" t="str">
        <f t="shared" si="9"/>
        <v/>
      </c>
      <c r="AD79" s="39" t="str">
        <f t="shared" si="10"/>
        <v/>
      </c>
      <c r="AE79" s="39" t="str">
        <f t="shared" si="11"/>
        <v/>
      </c>
      <c r="AF79" s="70">
        <v>0</v>
      </c>
      <c r="AG79" s="70">
        <v>1</v>
      </c>
      <c r="AH79" s="70">
        <v>1</v>
      </c>
      <c r="AI79" s="74">
        <v>0</v>
      </c>
      <c r="AJ79" s="73">
        <v>0</v>
      </c>
      <c r="AK79" s="73">
        <v>1</v>
      </c>
      <c r="AL79" s="50" cm="1">
        <f t="array" ref="AL79">IF(AND(AF79:AK79="AB"),"AB",SUM(AF79:AK79))</f>
        <v>3</v>
      </c>
      <c r="AM79" s="70">
        <v>10</v>
      </c>
      <c r="AN79" s="70">
        <v>10</v>
      </c>
      <c r="AO79" s="70">
        <v>0</v>
      </c>
      <c r="AP79" s="74">
        <v>10</v>
      </c>
      <c r="AQ79" s="73">
        <v>10</v>
      </c>
      <c r="AR79" s="73">
        <v>0</v>
      </c>
      <c r="AS79" s="73">
        <v>16</v>
      </c>
      <c r="AT79" s="73">
        <v>17</v>
      </c>
      <c r="AU79" s="73">
        <v>17</v>
      </c>
      <c r="AV79" s="73">
        <v>17</v>
      </c>
      <c r="AW79" s="40" cm="1">
        <f t="array" ref="AW79">IF(AND(AM79:AV79="AB"),"AB",AVERAGE(AM79:AV79))</f>
        <v>10.7</v>
      </c>
      <c r="AX79" s="70" t="s">
        <v>10</v>
      </c>
      <c r="AY79" s="37"/>
      <c r="AZ79" s="37"/>
    </row>
    <row r="80" spans="1:52" s="17" customFormat="1" ht="18" customHeight="1" x14ac:dyDescent="0.3">
      <c r="A80" s="61">
        <v>71</v>
      </c>
      <c r="B80" s="62">
        <v>71</v>
      </c>
      <c r="C80" s="63" t="s">
        <v>120</v>
      </c>
      <c r="D80" s="63">
        <v>1914361203</v>
      </c>
      <c r="E80" s="66" t="s">
        <v>194</v>
      </c>
      <c r="F80" s="65">
        <v>0</v>
      </c>
      <c r="G80" s="65">
        <v>6</v>
      </c>
      <c r="H80" s="65">
        <v>7</v>
      </c>
      <c r="I80" s="36" cm="1">
        <f t="array" ref="I80">IF(AND(F80:H80="AB"),"AB",SUM(F80:H80))</f>
        <v>13</v>
      </c>
      <c r="J80" s="65">
        <v>0</v>
      </c>
      <c r="K80" s="65">
        <v>6</v>
      </c>
      <c r="L80" s="65">
        <v>7</v>
      </c>
      <c r="M80" s="36" cm="1">
        <f t="array" ref="M80">IF(AND(J80:L80="AB"),"AB",SUM(J80:L80))</f>
        <v>13</v>
      </c>
      <c r="N80" s="69"/>
      <c r="O80" s="63"/>
      <c r="P80" s="63"/>
      <c r="Q80" s="63"/>
      <c r="R80" s="63"/>
      <c r="S80" s="63"/>
      <c r="T80" s="70"/>
      <c r="U80" s="74"/>
      <c r="V80" s="73"/>
      <c r="W80" s="73"/>
      <c r="X80" s="73"/>
      <c r="Y80" s="38" cm="1">
        <f t="array" ref="Y80">IF(AND(U80:X80="AB"),"AB",SUM(U80:X80))</f>
        <v>0</v>
      </c>
      <c r="Z80" s="39" t="str">
        <f t="shared" si="6"/>
        <v/>
      </c>
      <c r="AA80" s="39" t="str">
        <f t="shared" si="7"/>
        <v/>
      </c>
      <c r="AB80" s="39" t="str">
        <f t="shared" si="8"/>
        <v/>
      </c>
      <c r="AC80" s="39" t="str">
        <f t="shared" si="9"/>
        <v/>
      </c>
      <c r="AD80" s="39" t="str">
        <f t="shared" si="10"/>
        <v/>
      </c>
      <c r="AE80" s="39" t="str">
        <f t="shared" si="11"/>
        <v/>
      </c>
      <c r="AF80" s="70">
        <v>1</v>
      </c>
      <c r="AG80" s="70">
        <v>0</v>
      </c>
      <c r="AH80" s="70">
        <v>0</v>
      </c>
      <c r="AI80" s="74">
        <v>2</v>
      </c>
      <c r="AJ80" s="73">
        <v>4</v>
      </c>
      <c r="AK80" s="73">
        <v>0</v>
      </c>
      <c r="AL80" s="50" cm="1">
        <f t="array" ref="AL80">IF(AND(AF80:AK80="AB"),"AB",SUM(AF80:AK80))</f>
        <v>7</v>
      </c>
      <c r="AM80" s="70">
        <v>10</v>
      </c>
      <c r="AN80" s="70">
        <v>15</v>
      </c>
      <c r="AO80" s="70">
        <v>12</v>
      </c>
      <c r="AP80" s="74">
        <v>10</v>
      </c>
      <c r="AQ80" s="73">
        <v>15</v>
      </c>
      <c r="AR80" s="73">
        <v>12</v>
      </c>
      <c r="AS80" s="73">
        <v>16</v>
      </c>
      <c r="AT80" s="73">
        <v>19</v>
      </c>
      <c r="AU80" s="73">
        <v>19</v>
      </c>
      <c r="AV80" s="73">
        <v>19</v>
      </c>
      <c r="AW80" s="40" cm="1">
        <f t="array" ref="AW80">IF(AND(AM80:AV80="AB"),"AB",AVERAGE(AM80:AV80))</f>
        <v>14.7</v>
      </c>
      <c r="AX80" s="70">
        <v>10</v>
      </c>
      <c r="AY80" s="37"/>
      <c r="AZ80" s="37"/>
    </row>
    <row r="81" spans="1:52" s="17" customFormat="1" ht="18" customHeight="1" x14ac:dyDescent="0.3">
      <c r="A81" s="61">
        <v>72</v>
      </c>
      <c r="B81" s="62">
        <v>72</v>
      </c>
      <c r="C81" s="63" t="s">
        <v>121</v>
      </c>
      <c r="D81" s="63">
        <v>1914361204</v>
      </c>
      <c r="E81" s="66" t="s">
        <v>195</v>
      </c>
      <c r="F81" s="65" t="s">
        <v>10</v>
      </c>
      <c r="G81" s="65">
        <v>6</v>
      </c>
      <c r="H81" s="65">
        <v>7</v>
      </c>
      <c r="I81" s="36" cm="1">
        <f t="array" ref="I81">IF(AND(F81:H81="AB"),"AB",SUM(F81:H81))</f>
        <v>13</v>
      </c>
      <c r="J81" s="65" t="s">
        <v>10</v>
      </c>
      <c r="K81" s="65">
        <v>6</v>
      </c>
      <c r="L81" s="65">
        <v>7</v>
      </c>
      <c r="M81" s="36" cm="1">
        <f t="array" ref="M81">IF(AND(J81:L81="AB"),"AB",SUM(J81:L81))</f>
        <v>13</v>
      </c>
      <c r="N81" s="69"/>
      <c r="O81" s="63"/>
      <c r="P81" s="63"/>
      <c r="Q81" s="63"/>
      <c r="R81" s="63"/>
      <c r="S81" s="63"/>
      <c r="T81" s="70"/>
      <c r="U81" s="74"/>
      <c r="V81" s="73"/>
      <c r="W81" s="73"/>
      <c r="X81" s="73"/>
      <c r="Y81" s="38" cm="1">
        <f t="array" ref="Y81">IF(AND(U81:X81="AB"),"AB",SUM(U81:X81))</f>
        <v>0</v>
      </c>
      <c r="Z81" s="39" t="str">
        <f t="shared" si="6"/>
        <v/>
      </c>
      <c r="AA81" s="39" t="str">
        <f t="shared" si="7"/>
        <v/>
      </c>
      <c r="AB81" s="39" t="str">
        <f t="shared" si="8"/>
        <v/>
      </c>
      <c r="AC81" s="39" t="str">
        <f t="shared" si="9"/>
        <v/>
      </c>
      <c r="AD81" s="39" t="str">
        <f t="shared" si="10"/>
        <v/>
      </c>
      <c r="AE81" s="39" t="str">
        <f t="shared" si="11"/>
        <v/>
      </c>
      <c r="AF81" s="70" t="s">
        <v>10</v>
      </c>
      <c r="AG81" s="70" t="s">
        <v>10</v>
      </c>
      <c r="AH81" s="70" t="s">
        <v>10</v>
      </c>
      <c r="AI81" s="74" t="s">
        <v>10</v>
      </c>
      <c r="AJ81" s="73" t="s">
        <v>10</v>
      </c>
      <c r="AK81" s="73" t="s">
        <v>10</v>
      </c>
      <c r="AL81" s="50" t="str" cm="1">
        <f t="array" ref="AL81">IF(AND(AF81:AK81="AB"),"AB",SUM(AF81:AK81))</f>
        <v>AB</v>
      </c>
      <c r="AM81" s="70">
        <v>16</v>
      </c>
      <c r="AN81" s="70">
        <v>16</v>
      </c>
      <c r="AO81" s="70">
        <v>10</v>
      </c>
      <c r="AP81" s="74">
        <v>16</v>
      </c>
      <c r="AQ81" s="73">
        <v>16</v>
      </c>
      <c r="AR81" s="73">
        <v>10</v>
      </c>
      <c r="AS81" s="73">
        <v>17</v>
      </c>
      <c r="AT81" s="73">
        <v>15</v>
      </c>
      <c r="AU81" s="73">
        <v>15</v>
      </c>
      <c r="AV81" s="73">
        <v>15</v>
      </c>
      <c r="AW81" s="40" cm="1">
        <f t="array" ref="AW81">IF(AND(AM81:AV81="AB"),"AB",AVERAGE(AM81:AV81))</f>
        <v>14.6</v>
      </c>
      <c r="AX81" s="70">
        <v>16</v>
      </c>
      <c r="AY81" s="37"/>
      <c r="AZ81" s="37"/>
    </row>
    <row r="82" spans="1:52" s="17" customFormat="1" ht="18" customHeight="1" x14ac:dyDescent="0.3">
      <c r="A82" s="61">
        <v>73</v>
      </c>
      <c r="B82" s="62">
        <v>73</v>
      </c>
      <c r="C82" s="63" t="s">
        <v>122</v>
      </c>
      <c r="D82" s="63">
        <v>1914361700</v>
      </c>
      <c r="E82" s="66" t="s">
        <v>196</v>
      </c>
      <c r="F82" s="65"/>
      <c r="G82" s="65">
        <v>6</v>
      </c>
      <c r="H82" s="65"/>
      <c r="I82" s="36" cm="1">
        <f t="array" ref="I82">IF(AND(F82:H82="AB"),"AB",SUM(F82:H82))</f>
        <v>6</v>
      </c>
      <c r="J82" s="65" t="s">
        <v>10</v>
      </c>
      <c r="K82" s="65" t="s">
        <v>10</v>
      </c>
      <c r="L82" s="65" t="s">
        <v>10</v>
      </c>
      <c r="M82" s="36" t="str" cm="1">
        <f t="array" ref="M82">IF(AND(J82:L82="AB"),"AB",SUM(J82:L82))</f>
        <v>AB</v>
      </c>
      <c r="N82" s="69"/>
      <c r="O82" s="63"/>
      <c r="P82" s="63"/>
      <c r="Q82" s="63"/>
      <c r="R82" s="63"/>
      <c r="S82" s="63"/>
      <c r="T82" s="70"/>
      <c r="U82" s="74"/>
      <c r="V82" s="73"/>
      <c r="W82" s="73"/>
      <c r="X82" s="73"/>
      <c r="Y82" s="38" cm="1">
        <f t="array" ref="Y82">IF(AND(U82:X82="AB"),"AB",SUM(U82:X82))</f>
        <v>0</v>
      </c>
      <c r="Z82" s="39" t="str">
        <f t="shared" si="6"/>
        <v/>
      </c>
      <c r="AA82" s="39" t="str">
        <f t="shared" si="7"/>
        <v/>
      </c>
      <c r="AB82" s="39" t="str">
        <f t="shared" si="8"/>
        <v/>
      </c>
      <c r="AC82" s="39" t="str">
        <f t="shared" si="9"/>
        <v/>
      </c>
      <c r="AD82" s="39" t="str">
        <f t="shared" si="10"/>
        <v/>
      </c>
      <c r="AE82" s="39" t="str">
        <f t="shared" si="11"/>
        <v/>
      </c>
      <c r="AF82" s="70">
        <v>0</v>
      </c>
      <c r="AG82" s="70">
        <v>0</v>
      </c>
      <c r="AH82" s="70">
        <v>0</v>
      </c>
      <c r="AI82" s="74">
        <v>1</v>
      </c>
      <c r="AJ82" s="73">
        <v>5</v>
      </c>
      <c r="AK82" s="73">
        <v>1</v>
      </c>
      <c r="AL82" s="50" cm="1">
        <f t="array" ref="AL82">IF(AND(AF82:AK82="AB"),"AB",SUM(AF82:AK82))</f>
        <v>7</v>
      </c>
      <c r="AM82" s="70" t="s">
        <v>10</v>
      </c>
      <c r="AN82" s="70" t="s">
        <v>10</v>
      </c>
      <c r="AO82" s="70" t="s">
        <v>10</v>
      </c>
      <c r="AP82" s="74" t="s">
        <v>10</v>
      </c>
      <c r="AQ82" s="73" t="s">
        <v>10</v>
      </c>
      <c r="AR82" s="73" t="s">
        <v>10</v>
      </c>
      <c r="AS82" s="73" t="s">
        <v>10</v>
      </c>
      <c r="AT82" s="73" t="s">
        <v>10</v>
      </c>
      <c r="AU82" s="73" t="s">
        <v>10</v>
      </c>
      <c r="AV82" s="73" t="s">
        <v>10</v>
      </c>
      <c r="AW82" s="40" t="str" cm="1">
        <f t="array" ref="AW82">IF(AND(AM82:AV82="AB"),"AB",AVERAGE(AM82:AV82))</f>
        <v>AB</v>
      </c>
      <c r="AX82" s="70">
        <v>17</v>
      </c>
      <c r="AY82" s="37"/>
      <c r="AZ82" s="37"/>
    </row>
    <row r="83" spans="1:52" s="17" customFormat="1" ht="18" customHeight="1" x14ac:dyDescent="0.3">
      <c r="A83" s="61">
        <v>74</v>
      </c>
      <c r="B83" s="62">
        <v>74</v>
      </c>
      <c r="C83" s="63" t="s">
        <v>123</v>
      </c>
      <c r="D83" s="63">
        <v>1914381197</v>
      </c>
      <c r="E83" s="66" t="s">
        <v>197</v>
      </c>
      <c r="F83" s="65" t="s">
        <v>10</v>
      </c>
      <c r="G83" s="65">
        <v>6</v>
      </c>
      <c r="H83" s="65">
        <v>7</v>
      </c>
      <c r="I83" s="36" cm="1">
        <f t="array" ref="I83">IF(AND(F83:H83="AB"),"AB",SUM(F83:H83))</f>
        <v>13</v>
      </c>
      <c r="J83" s="65"/>
      <c r="K83" s="65"/>
      <c r="L83" s="65"/>
      <c r="M83" s="36" cm="1">
        <f t="array" ref="M83">IF(AND(J83:L83="AB"),"AB",SUM(J83:L83))</f>
        <v>0</v>
      </c>
      <c r="N83" s="69"/>
      <c r="O83" s="63"/>
      <c r="P83" s="63"/>
      <c r="Q83" s="63"/>
      <c r="R83" s="63"/>
      <c r="S83" s="63"/>
      <c r="T83" s="70"/>
      <c r="U83" s="74"/>
      <c r="V83" s="73"/>
      <c r="W83" s="73"/>
      <c r="X83" s="73"/>
      <c r="Y83" s="38" cm="1">
        <f t="array" ref="Y83">IF(AND(U83:X83="AB"),"AB",SUM(U83:X83))</f>
        <v>0</v>
      </c>
      <c r="Z83" s="39" t="str">
        <f t="shared" ref="Z83:Z99" si="12">IF(O83="","",Y83)</f>
        <v/>
      </c>
      <c r="AA83" s="39" t="str">
        <f t="shared" ref="AA83:AA99" si="13">IF(P83="","",Y83)</f>
        <v/>
      </c>
      <c r="AB83" s="39" t="str">
        <f t="shared" ref="AB83:AB99" si="14">IF(Q83="","",Y83)</f>
        <v/>
      </c>
      <c r="AC83" s="39" t="str">
        <f t="shared" ref="AC83:AC99" si="15">IF(R83="","",Y83)</f>
        <v/>
      </c>
      <c r="AD83" s="39" t="str">
        <f t="shared" ref="AD83:AD99" si="16">IF(S83="","",Y83)</f>
        <v/>
      </c>
      <c r="AE83" s="39" t="str">
        <f t="shared" ref="AE83:AE99" si="17">IF(T83="","",Y83)</f>
        <v/>
      </c>
      <c r="AF83" s="70"/>
      <c r="AG83" s="70"/>
      <c r="AH83" s="70"/>
      <c r="AI83" s="74"/>
      <c r="AJ83" s="73"/>
      <c r="AK83" s="73"/>
      <c r="AL83" s="50" cm="1">
        <f t="array" ref="AL83">IF(AND(AF83:AK83="AB"),"AB",SUM(AF83:AK83))</f>
        <v>0</v>
      </c>
      <c r="AM83" s="70"/>
      <c r="AN83" s="70"/>
      <c r="AO83" s="70"/>
      <c r="AP83" s="74"/>
      <c r="AQ83" s="73"/>
      <c r="AR83" s="73"/>
      <c r="AS83" s="73"/>
      <c r="AT83" s="73"/>
      <c r="AU83" s="73"/>
      <c r="AV83" s="73"/>
      <c r="AW83" s="40" t="e" cm="1">
        <f t="array" ref="AW83">IF(AND(AM83:AV83="AB"),"AB",AVERAGE(AM83:AV83))</f>
        <v>#DIV/0!</v>
      </c>
      <c r="AX83" s="70"/>
      <c r="AY83" s="37"/>
      <c r="AZ83" s="37"/>
    </row>
    <row r="84" spans="1:52" s="17" customFormat="1" ht="18" customHeight="1" x14ac:dyDescent="0.3">
      <c r="A84" s="61">
        <v>75</v>
      </c>
      <c r="B84" s="62"/>
      <c r="C84" s="63"/>
      <c r="D84" s="63"/>
      <c r="E84" s="66"/>
      <c r="F84" s="65"/>
      <c r="G84" s="65"/>
      <c r="H84" s="65"/>
      <c r="I84" s="36" cm="1">
        <f t="array" ref="I84">IF(AND(F84:H84="AB"),"AB",SUM(F84:H84))</f>
        <v>0</v>
      </c>
      <c r="J84" s="65"/>
      <c r="K84" s="65"/>
      <c r="L84" s="65"/>
      <c r="M84" s="36" cm="1">
        <f t="array" ref="M84">IF(AND(J84:L84="AB"),"AB",SUM(J84:L84))</f>
        <v>0</v>
      </c>
      <c r="N84" s="69"/>
      <c r="O84" s="63"/>
      <c r="P84" s="63"/>
      <c r="Q84" s="63"/>
      <c r="R84" s="63"/>
      <c r="S84" s="63"/>
      <c r="T84" s="70"/>
      <c r="U84" s="74"/>
      <c r="V84" s="73"/>
      <c r="W84" s="73"/>
      <c r="X84" s="73"/>
      <c r="Y84" s="38" cm="1">
        <f t="array" ref="Y84">IF(AND(U84:X84="AB"),"AB",SUM(U84:X84))</f>
        <v>0</v>
      </c>
      <c r="Z84" s="39" t="str">
        <f t="shared" si="12"/>
        <v/>
      </c>
      <c r="AA84" s="39" t="str">
        <f t="shared" si="13"/>
        <v/>
      </c>
      <c r="AB84" s="39" t="str">
        <f t="shared" si="14"/>
        <v/>
      </c>
      <c r="AC84" s="39" t="str">
        <f t="shared" si="15"/>
        <v/>
      </c>
      <c r="AD84" s="39" t="str">
        <f t="shared" si="16"/>
        <v/>
      </c>
      <c r="AE84" s="39" t="str">
        <f t="shared" si="17"/>
        <v/>
      </c>
      <c r="AF84" s="70"/>
      <c r="AG84" s="70"/>
      <c r="AH84" s="70"/>
      <c r="AI84" s="74"/>
      <c r="AJ84" s="73"/>
      <c r="AK84" s="73"/>
      <c r="AL84" s="50" cm="1">
        <f t="array" ref="AL84">IF(AND(AF84:AK84="AB"),"AB",SUM(AF84:AK84))</f>
        <v>0</v>
      </c>
      <c r="AM84" s="70"/>
      <c r="AN84" s="70"/>
      <c r="AO84" s="70"/>
      <c r="AP84" s="74"/>
      <c r="AQ84" s="73"/>
      <c r="AR84" s="73"/>
      <c r="AS84" s="73"/>
      <c r="AT84" s="73"/>
      <c r="AU84" s="73"/>
      <c r="AV84" s="73"/>
      <c r="AW84" s="40" t="e" cm="1">
        <f t="array" ref="AW84">IF(AND(AM84:AV84="AB"),"AB",AVERAGE(AM84:AV84))</f>
        <v>#DIV/0!</v>
      </c>
      <c r="AX84" s="70"/>
      <c r="AY84" s="37"/>
      <c r="AZ84" s="37"/>
    </row>
    <row r="85" spans="1:52" s="17" customFormat="1" ht="18" customHeight="1" x14ac:dyDescent="0.3">
      <c r="A85" s="61">
        <v>76</v>
      </c>
      <c r="B85" s="62"/>
      <c r="C85" s="63"/>
      <c r="D85" s="63"/>
      <c r="E85" s="66"/>
      <c r="F85" s="65"/>
      <c r="G85" s="65"/>
      <c r="H85" s="65"/>
      <c r="I85" s="36" cm="1">
        <f t="array" ref="I85">IF(AND(F85:H85="AB"),"AB",SUM(F85:H85))</f>
        <v>0</v>
      </c>
      <c r="J85" s="65"/>
      <c r="K85" s="65"/>
      <c r="L85" s="65"/>
      <c r="M85" s="36" cm="1">
        <f t="array" ref="M85">IF(AND(J85:L85="AB"),"AB",SUM(J85:L85))</f>
        <v>0</v>
      </c>
      <c r="N85" s="69"/>
      <c r="O85" s="63"/>
      <c r="P85" s="63"/>
      <c r="Q85" s="63"/>
      <c r="R85" s="63"/>
      <c r="S85" s="63"/>
      <c r="T85" s="70"/>
      <c r="U85" s="74"/>
      <c r="V85" s="73"/>
      <c r="W85" s="73"/>
      <c r="X85" s="73"/>
      <c r="Y85" s="38" cm="1">
        <f t="array" ref="Y85">IF(AND(U85:X85="AB"),"AB",SUM(U85:X85))</f>
        <v>0</v>
      </c>
      <c r="Z85" s="39" t="str">
        <f t="shared" si="12"/>
        <v/>
      </c>
      <c r="AA85" s="39" t="str">
        <f t="shared" si="13"/>
        <v/>
      </c>
      <c r="AB85" s="39" t="str">
        <f t="shared" si="14"/>
        <v/>
      </c>
      <c r="AC85" s="39" t="str">
        <f t="shared" si="15"/>
        <v/>
      </c>
      <c r="AD85" s="39" t="str">
        <f t="shared" si="16"/>
        <v/>
      </c>
      <c r="AE85" s="39" t="str">
        <f t="shared" si="17"/>
        <v/>
      </c>
      <c r="AF85" s="70"/>
      <c r="AG85" s="70"/>
      <c r="AH85" s="70"/>
      <c r="AI85" s="74"/>
      <c r="AJ85" s="73"/>
      <c r="AK85" s="73"/>
      <c r="AL85" s="50" cm="1">
        <f t="array" ref="AL85">IF(AND(AF85:AK85="AB"),"AB",SUM(AF85:AK85))</f>
        <v>0</v>
      </c>
      <c r="AM85" s="70"/>
      <c r="AN85" s="70"/>
      <c r="AO85" s="70"/>
      <c r="AP85" s="74"/>
      <c r="AQ85" s="73"/>
      <c r="AR85" s="73"/>
      <c r="AS85" s="73"/>
      <c r="AT85" s="73"/>
      <c r="AU85" s="73"/>
      <c r="AV85" s="73"/>
      <c r="AW85" s="40" t="e" cm="1">
        <f t="array" ref="AW85">IF(AND(AM85:AV85="AB"),"AB",AVERAGE(AM85:AV85))</f>
        <v>#DIV/0!</v>
      </c>
      <c r="AX85" s="70"/>
      <c r="AY85" s="37"/>
      <c r="AZ85" s="37"/>
    </row>
    <row r="86" spans="1:52" s="17" customFormat="1" ht="18" customHeight="1" x14ac:dyDescent="0.3">
      <c r="A86" s="61">
        <v>77</v>
      </c>
      <c r="B86" s="62"/>
      <c r="C86" s="63"/>
      <c r="D86" s="63"/>
      <c r="E86" s="66"/>
      <c r="F86" s="65"/>
      <c r="G86" s="65"/>
      <c r="H86" s="65"/>
      <c r="I86" s="36" cm="1">
        <f t="array" ref="I86">IF(AND(F86:H86="AB"),"AB",SUM(F86:H86))</f>
        <v>0</v>
      </c>
      <c r="J86" s="65"/>
      <c r="K86" s="65"/>
      <c r="L86" s="65"/>
      <c r="M86" s="36" cm="1">
        <f t="array" ref="M86">IF(AND(J86:L86="AB"),"AB",SUM(J86:L86))</f>
        <v>0</v>
      </c>
      <c r="N86" s="69"/>
      <c r="O86" s="63"/>
      <c r="P86" s="63"/>
      <c r="Q86" s="63"/>
      <c r="R86" s="63"/>
      <c r="S86" s="63"/>
      <c r="T86" s="70"/>
      <c r="U86" s="74"/>
      <c r="V86" s="73"/>
      <c r="W86" s="73"/>
      <c r="X86" s="73"/>
      <c r="Y86" s="38" cm="1">
        <f t="array" ref="Y86">IF(AND(U86:X86="AB"),"AB",SUM(U86:X86))</f>
        <v>0</v>
      </c>
      <c r="Z86" s="39" t="str">
        <f t="shared" si="12"/>
        <v/>
      </c>
      <c r="AA86" s="39" t="str">
        <f t="shared" si="13"/>
        <v/>
      </c>
      <c r="AB86" s="39" t="str">
        <f t="shared" si="14"/>
        <v/>
      </c>
      <c r="AC86" s="39" t="str">
        <f t="shared" si="15"/>
        <v/>
      </c>
      <c r="AD86" s="39" t="str">
        <f t="shared" si="16"/>
        <v/>
      </c>
      <c r="AE86" s="39" t="str">
        <f t="shared" si="17"/>
        <v/>
      </c>
      <c r="AF86" s="70"/>
      <c r="AG86" s="70"/>
      <c r="AH86" s="70"/>
      <c r="AI86" s="74"/>
      <c r="AJ86" s="73"/>
      <c r="AK86" s="73"/>
      <c r="AL86" s="50" cm="1">
        <f t="array" ref="AL86">IF(AND(AF86:AK86="AB"),"AB",SUM(AF86:AK86))</f>
        <v>0</v>
      </c>
      <c r="AM86" s="70"/>
      <c r="AN86" s="70"/>
      <c r="AO86" s="70"/>
      <c r="AP86" s="74"/>
      <c r="AQ86" s="73"/>
      <c r="AR86" s="73"/>
      <c r="AS86" s="73"/>
      <c r="AT86" s="73"/>
      <c r="AU86" s="73"/>
      <c r="AV86" s="73"/>
      <c r="AW86" s="40" t="e" cm="1">
        <f t="array" ref="AW86">IF(AND(AM86:AV86="AB"),"AB",AVERAGE(AM86:AV86))</f>
        <v>#DIV/0!</v>
      </c>
      <c r="AX86" s="70"/>
      <c r="AY86" s="37"/>
      <c r="AZ86" s="37"/>
    </row>
    <row r="87" spans="1:52" s="17" customFormat="1" ht="18" customHeight="1" x14ac:dyDescent="0.3">
      <c r="A87" s="61">
        <v>78</v>
      </c>
      <c r="B87" s="62"/>
      <c r="C87" s="63"/>
      <c r="D87" s="63"/>
      <c r="E87" s="66"/>
      <c r="F87" s="65"/>
      <c r="G87" s="65"/>
      <c r="H87" s="65"/>
      <c r="I87" s="36" cm="1">
        <f t="array" ref="I87">IF(AND(F87:H87="AB"),"AB",SUM(F87:H87))</f>
        <v>0</v>
      </c>
      <c r="J87" s="65"/>
      <c r="K87" s="65"/>
      <c r="L87" s="65"/>
      <c r="M87" s="36" cm="1">
        <f t="array" ref="M87">IF(AND(J87:L87="AB"),"AB",SUM(J87:L87))</f>
        <v>0</v>
      </c>
      <c r="N87" s="69"/>
      <c r="O87" s="63"/>
      <c r="P87" s="63"/>
      <c r="Q87" s="63"/>
      <c r="R87" s="63"/>
      <c r="S87" s="63"/>
      <c r="T87" s="70"/>
      <c r="U87" s="74"/>
      <c r="V87" s="73"/>
      <c r="W87" s="73"/>
      <c r="X87" s="73"/>
      <c r="Y87" s="38" cm="1">
        <f t="array" ref="Y87">IF(AND(U87:X87="AB"),"AB",SUM(U87:X87))</f>
        <v>0</v>
      </c>
      <c r="Z87" s="39" t="str">
        <f t="shared" si="12"/>
        <v/>
      </c>
      <c r="AA87" s="39" t="str">
        <f t="shared" si="13"/>
        <v/>
      </c>
      <c r="AB87" s="39" t="str">
        <f t="shared" si="14"/>
        <v/>
      </c>
      <c r="AC87" s="39" t="str">
        <f t="shared" si="15"/>
        <v/>
      </c>
      <c r="AD87" s="39" t="str">
        <f t="shared" si="16"/>
        <v/>
      </c>
      <c r="AE87" s="39" t="str">
        <f t="shared" si="17"/>
        <v/>
      </c>
      <c r="AF87" s="70"/>
      <c r="AG87" s="70"/>
      <c r="AH87" s="70"/>
      <c r="AI87" s="74"/>
      <c r="AJ87" s="73"/>
      <c r="AK87" s="73"/>
      <c r="AL87" s="50" cm="1">
        <f t="array" ref="AL87">IF(AND(AF87:AK87="AB"),"AB",SUM(AF87:AK87))</f>
        <v>0</v>
      </c>
      <c r="AM87" s="70"/>
      <c r="AN87" s="70"/>
      <c r="AO87" s="70"/>
      <c r="AP87" s="74"/>
      <c r="AQ87" s="73"/>
      <c r="AR87" s="73"/>
      <c r="AS87" s="73"/>
      <c r="AT87" s="73"/>
      <c r="AU87" s="73"/>
      <c r="AV87" s="73"/>
      <c r="AW87" s="40" t="e" cm="1">
        <f t="array" ref="AW87">IF(AND(AM87:AV87="AB"),"AB",AVERAGE(AM87:AV87))</f>
        <v>#DIV/0!</v>
      </c>
      <c r="AX87" s="70"/>
      <c r="AY87" s="37"/>
      <c r="AZ87" s="37"/>
    </row>
    <row r="88" spans="1:52" s="17" customFormat="1" ht="18" customHeight="1" x14ac:dyDescent="0.3">
      <c r="A88" s="61">
        <v>79</v>
      </c>
      <c r="B88" s="62"/>
      <c r="C88" s="63"/>
      <c r="D88" s="63"/>
      <c r="E88" s="66"/>
      <c r="F88" s="65"/>
      <c r="G88" s="65"/>
      <c r="H88" s="65"/>
      <c r="I88" s="36" cm="1">
        <f t="array" ref="I88">IF(AND(F88:H88="AB"),"AB",SUM(F88:H88))</f>
        <v>0</v>
      </c>
      <c r="J88" s="65"/>
      <c r="K88" s="65"/>
      <c r="L88" s="65"/>
      <c r="M88" s="36" cm="1">
        <f t="array" ref="M88">IF(AND(J88:L88="AB"),"AB",SUM(J88:L88))</f>
        <v>0</v>
      </c>
      <c r="N88" s="69"/>
      <c r="O88" s="63"/>
      <c r="P88" s="63"/>
      <c r="Q88" s="63"/>
      <c r="R88" s="63"/>
      <c r="S88" s="63"/>
      <c r="T88" s="70"/>
      <c r="U88" s="74"/>
      <c r="V88" s="73"/>
      <c r="W88" s="73"/>
      <c r="X88" s="73"/>
      <c r="Y88" s="38" cm="1">
        <f t="array" ref="Y88">IF(AND(U88:X88="AB"),"AB",SUM(U88:X88))</f>
        <v>0</v>
      </c>
      <c r="Z88" s="39" t="str">
        <f t="shared" si="12"/>
        <v/>
      </c>
      <c r="AA88" s="39" t="str">
        <f t="shared" si="13"/>
        <v/>
      </c>
      <c r="AB88" s="39" t="str">
        <f t="shared" si="14"/>
        <v/>
      </c>
      <c r="AC88" s="39" t="str">
        <f t="shared" si="15"/>
        <v/>
      </c>
      <c r="AD88" s="39" t="str">
        <f t="shared" si="16"/>
        <v/>
      </c>
      <c r="AE88" s="39" t="str">
        <f t="shared" si="17"/>
        <v/>
      </c>
      <c r="AF88" s="70"/>
      <c r="AG88" s="70"/>
      <c r="AH88" s="70"/>
      <c r="AI88" s="74"/>
      <c r="AJ88" s="73"/>
      <c r="AK88" s="73"/>
      <c r="AL88" s="50" cm="1">
        <f t="array" ref="AL88">IF(AND(AF88:AK88="AB"),"AB",SUM(AF88:AK88))</f>
        <v>0</v>
      </c>
      <c r="AM88" s="70"/>
      <c r="AN88" s="70"/>
      <c r="AO88" s="70"/>
      <c r="AP88" s="74"/>
      <c r="AQ88" s="73"/>
      <c r="AR88" s="73"/>
      <c r="AS88" s="73"/>
      <c r="AT88" s="73"/>
      <c r="AU88" s="73"/>
      <c r="AV88" s="73"/>
      <c r="AW88" s="40" t="e" cm="1">
        <f t="array" ref="AW88">IF(AND(AM88:AV88="AB"),"AB",AVERAGE(AM88:AV88))</f>
        <v>#DIV/0!</v>
      </c>
      <c r="AX88" s="70"/>
      <c r="AY88" s="37"/>
      <c r="AZ88" s="37"/>
    </row>
    <row r="89" spans="1:52" s="17" customFormat="1" ht="18" customHeight="1" x14ac:dyDescent="0.3">
      <c r="A89" s="61">
        <v>80</v>
      </c>
      <c r="B89" s="62"/>
      <c r="C89" s="63"/>
      <c r="D89" s="63"/>
      <c r="E89" s="66"/>
      <c r="F89" s="65"/>
      <c r="G89" s="65"/>
      <c r="H89" s="65"/>
      <c r="I89" s="36" cm="1">
        <f t="array" ref="I89">IF(AND(F89:H89="AB"),"AB",SUM(F89:H89))</f>
        <v>0</v>
      </c>
      <c r="J89" s="65"/>
      <c r="K89" s="65"/>
      <c r="L89" s="65"/>
      <c r="M89" s="36" cm="1">
        <f t="array" ref="M89">IF(AND(J89:L89="AB"),"AB",SUM(J89:L89))</f>
        <v>0</v>
      </c>
      <c r="N89" s="69"/>
      <c r="O89" s="63"/>
      <c r="P89" s="63"/>
      <c r="Q89" s="63"/>
      <c r="R89" s="63"/>
      <c r="S89" s="63"/>
      <c r="T89" s="70"/>
      <c r="U89" s="74"/>
      <c r="V89" s="73"/>
      <c r="W89" s="73"/>
      <c r="X89" s="73"/>
      <c r="Y89" s="38" cm="1">
        <f t="array" ref="Y89">IF(AND(U89:X89="AB"),"AB",SUM(U89:X89))</f>
        <v>0</v>
      </c>
      <c r="Z89" s="39" t="str">
        <f t="shared" si="12"/>
        <v/>
      </c>
      <c r="AA89" s="39" t="str">
        <f t="shared" si="13"/>
        <v/>
      </c>
      <c r="AB89" s="39" t="str">
        <f t="shared" si="14"/>
        <v/>
      </c>
      <c r="AC89" s="39" t="str">
        <f t="shared" si="15"/>
        <v/>
      </c>
      <c r="AD89" s="39" t="str">
        <f t="shared" si="16"/>
        <v/>
      </c>
      <c r="AE89" s="39" t="str">
        <f t="shared" si="17"/>
        <v/>
      </c>
      <c r="AF89" s="70"/>
      <c r="AG89" s="70"/>
      <c r="AH89" s="70"/>
      <c r="AI89" s="74"/>
      <c r="AJ89" s="73"/>
      <c r="AK89" s="73"/>
      <c r="AL89" s="50" cm="1">
        <f t="array" ref="AL89">IF(AND(AF89:AK89="AB"),"AB",SUM(AF89:AK89))</f>
        <v>0</v>
      </c>
      <c r="AM89" s="70"/>
      <c r="AN89" s="70"/>
      <c r="AO89" s="70"/>
      <c r="AP89" s="74"/>
      <c r="AQ89" s="73"/>
      <c r="AR89" s="73"/>
      <c r="AS89" s="73"/>
      <c r="AT89" s="73"/>
      <c r="AU89" s="73"/>
      <c r="AV89" s="73"/>
      <c r="AW89" s="40" t="e" cm="1">
        <f t="array" ref="AW89">IF(AND(AM89:AV89="AB"),"AB",AVERAGE(AM89:AV89))</f>
        <v>#DIV/0!</v>
      </c>
      <c r="AX89" s="70"/>
      <c r="AY89" s="37"/>
      <c r="AZ89" s="37"/>
    </row>
    <row r="90" spans="1:52" s="17" customFormat="1" ht="18" customHeight="1" x14ac:dyDescent="0.3">
      <c r="A90" s="61">
        <v>81</v>
      </c>
      <c r="B90" s="62"/>
      <c r="C90" s="63"/>
      <c r="D90" s="63"/>
      <c r="E90" s="66"/>
      <c r="F90" s="65"/>
      <c r="G90" s="65"/>
      <c r="H90" s="65"/>
      <c r="I90" s="36" cm="1">
        <f t="array" ref="I90">IF(AND(F90:H90="AB"),"AB",SUM(F90:H90))</f>
        <v>0</v>
      </c>
      <c r="J90" s="65"/>
      <c r="K90" s="65"/>
      <c r="L90" s="65"/>
      <c r="M90" s="36" cm="1">
        <f t="array" ref="M90">IF(AND(J90:L90="AB"),"AB",SUM(J90:L90))</f>
        <v>0</v>
      </c>
      <c r="N90" s="69"/>
      <c r="O90" s="63"/>
      <c r="P90" s="63"/>
      <c r="Q90" s="63"/>
      <c r="R90" s="63"/>
      <c r="S90" s="63"/>
      <c r="T90" s="70"/>
      <c r="U90" s="74"/>
      <c r="V90" s="73"/>
      <c r="W90" s="73"/>
      <c r="X90" s="73"/>
      <c r="Y90" s="38" cm="1">
        <f t="array" ref="Y90">IF(AND(U90:X90="AB"),"AB",SUM(U90:X90))</f>
        <v>0</v>
      </c>
      <c r="Z90" s="39" t="str">
        <f t="shared" si="12"/>
        <v/>
      </c>
      <c r="AA90" s="39" t="str">
        <f t="shared" si="13"/>
        <v/>
      </c>
      <c r="AB90" s="39" t="str">
        <f t="shared" si="14"/>
        <v/>
      </c>
      <c r="AC90" s="39" t="str">
        <f t="shared" si="15"/>
        <v/>
      </c>
      <c r="AD90" s="39" t="str">
        <f t="shared" si="16"/>
        <v/>
      </c>
      <c r="AE90" s="39" t="str">
        <f t="shared" si="17"/>
        <v/>
      </c>
      <c r="AF90" s="70"/>
      <c r="AG90" s="70"/>
      <c r="AH90" s="70"/>
      <c r="AI90" s="74"/>
      <c r="AJ90" s="73"/>
      <c r="AK90" s="73"/>
      <c r="AL90" s="50" cm="1">
        <f t="array" ref="AL90">IF(AND(AF90:AK90="AB"),"AB",SUM(AF90:AK90))</f>
        <v>0</v>
      </c>
      <c r="AM90" s="70"/>
      <c r="AN90" s="70"/>
      <c r="AO90" s="70"/>
      <c r="AP90" s="74"/>
      <c r="AQ90" s="73"/>
      <c r="AR90" s="73"/>
      <c r="AS90" s="73"/>
      <c r="AT90" s="73"/>
      <c r="AU90" s="73"/>
      <c r="AV90" s="73"/>
      <c r="AW90" s="40" t="e" cm="1">
        <f t="array" ref="AW90">IF(AND(AM90:AV90="AB"),"AB",AVERAGE(AM90:AV90))</f>
        <v>#DIV/0!</v>
      </c>
      <c r="AX90" s="70"/>
      <c r="AY90" s="37"/>
      <c r="AZ90" s="37"/>
    </row>
    <row r="91" spans="1:52" s="17" customFormat="1" ht="18" customHeight="1" x14ac:dyDescent="0.3">
      <c r="A91" s="61">
        <v>82</v>
      </c>
      <c r="B91" s="62"/>
      <c r="C91" s="63"/>
      <c r="D91" s="63"/>
      <c r="E91" s="66"/>
      <c r="F91" s="65"/>
      <c r="G91" s="65"/>
      <c r="H91" s="65"/>
      <c r="I91" s="36" cm="1">
        <f t="array" ref="I91">IF(AND(F91:H91="AB"),"AB",SUM(F91:H91))</f>
        <v>0</v>
      </c>
      <c r="J91" s="65"/>
      <c r="K91" s="65"/>
      <c r="L91" s="65"/>
      <c r="M91" s="36" cm="1">
        <f t="array" ref="M91">IF(AND(J91:L91="AB"),"AB",SUM(J91:L91))</f>
        <v>0</v>
      </c>
      <c r="N91" s="69"/>
      <c r="O91" s="63"/>
      <c r="P91" s="63"/>
      <c r="Q91" s="63"/>
      <c r="R91" s="63"/>
      <c r="S91" s="63"/>
      <c r="T91" s="70"/>
      <c r="U91" s="74"/>
      <c r="V91" s="73"/>
      <c r="W91" s="73"/>
      <c r="X91" s="73"/>
      <c r="Y91" s="38" cm="1">
        <f t="array" ref="Y91">IF(AND(U91:X91="AB"),"AB",SUM(U91:X91))</f>
        <v>0</v>
      </c>
      <c r="Z91" s="39" t="str">
        <f t="shared" si="12"/>
        <v/>
      </c>
      <c r="AA91" s="39" t="str">
        <f t="shared" si="13"/>
        <v/>
      </c>
      <c r="AB91" s="39" t="str">
        <f t="shared" si="14"/>
        <v/>
      </c>
      <c r="AC91" s="39" t="str">
        <f t="shared" si="15"/>
        <v/>
      </c>
      <c r="AD91" s="39" t="str">
        <f t="shared" si="16"/>
        <v/>
      </c>
      <c r="AE91" s="39" t="str">
        <f t="shared" si="17"/>
        <v/>
      </c>
      <c r="AF91" s="70"/>
      <c r="AG91" s="70"/>
      <c r="AH91" s="70"/>
      <c r="AI91" s="74"/>
      <c r="AJ91" s="73"/>
      <c r="AK91" s="73"/>
      <c r="AL91" s="50" cm="1">
        <f t="array" ref="AL91">IF(AND(AF91:AK91="AB"),"AB",SUM(AF91:AK91))</f>
        <v>0</v>
      </c>
      <c r="AM91" s="70"/>
      <c r="AN91" s="70"/>
      <c r="AO91" s="70"/>
      <c r="AP91" s="74"/>
      <c r="AQ91" s="73"/>
      <c r="AR91" s="73"/>
      <c r="AS91" s="73"/>
      <c r="AT91" s="73"/>
      <c r="AU91" s="73"/>
      <c r="AV91" s="73"/>
      <c r="AW91" s="40" t="e" cm="1">
        <f t="array" ref="AW91">IF(AND(AM91:AV91="AB"),"AB",AVERAGE(AM91:AV91))</f>
        <v>#DIV/0!</v>
      </c>
      <c r="AX91" s="70"/>
      <c r="AY91" s="37"/>
      <c r="AZ91" s="37"/>
    </row>
    <row r="92" spans="1:52" s="17" customFormat="1" ht="18" customHeight="1" x14ac:dyDescent="0.3">
      <c r="A92" s="61">
        <v>83</v>
      </c>
      <c r="B92" s="62"/>
      <c r="C92" s="63"/>
      <c r="D92" s="63"/>
      <c r="E92" s="66"/>
      <c r="F92" s="65"/>
      <c r="G92" s="65"/>
      <c r="H92" s="65"/>
      <c r="I92" s="36" cm="1">
        <f t="array" ref="I92">IF(AND(F92:H92="AB"),"AB",SUM(F92:H92))</f>
        <v>0</v>
      </c>
      <c r="J92" s="65"/>
      <c r="K92" s="65"/>
      <c r="L92" s="65"/>
      <c r="M92" s="36" cm="1">
        <f t="array" ref="M92">IF(AND(J92:L92="AB"),"AB",SUM(J92:L92))</f>
        <v>0</v>
      </c>
      <c r="N92" s="69"/>
      <c r="O92" s="63"/>
      <c r="P92" s="63"/>
      <c r="Q92" s="63"/>
      <c r="R92" s="63"/>
      <c r="S92" s="63"/>
      <c r="T92" s="70"/>
      <c r="U92" s="74"/>
      <c r="V92" s="73"/>
      <c r="W92" s="73"/>
      <c r="X92" s="73"/>
      <c r="Y92" s="38" cm="1">
        <f t="array" ref="Y92">IF(AND(U92:X92="AB"),"AB",SUM(U92:X92))</f>
        <v>0</v>
      </c>
      <c r="Z92" s="39" t="str">
        <f t="shared" si="12"/>
        <v/>
      </c>
      <c r="AA92" s="39" t="str">
        <f t="shared" si="13"/>
        <v/>
      </c>
      <c r="AB92" s="39" t="str">
        <f t="shared" si="14"/>
        <v/>
      </c>
      <c r="AC92" s="39" t="str">
        <f t="shared" si="15"/>
        <v/>
      </c>
      <c r="AD92" s="39" t="str">
        <f t="shared" si="16"/>
        <v/>
      </c>
      <c r="AE92" s="39" t="str">
        <f t="shared" si="17"/>
        <v/>
      </c>
      <c r="AF92" s="70"/>
      <c r="AG92" s="70"/>
      <c r="AH92" s="70"/>
      <c r="AI92" s="74"/>
      <c r="AJ92" s="73"/>
      <c r="AK92" s="73"/>
      <c r="AL92" s="50" cm="1">
        <f t="array" ref="AL92">IF(AND(AF92:AK92="AB"),"AB",SUM(AF92:AK92))</f>
        <v>0</v>
      </c>
      <c r="AM92" s="70"/>
      <c r="AN92" s="70"/>
      <c r="AO92" s="70"/>
      <c r="AP92" s="74"/>
      <c r="AQ92" s="73"/>
      <c r="AR92" s="73"/>
      <c r="AS92" s="73"/>
      <c r="AT92" s="73"/>
      <c r="AU92" s="73"/>
      <c r="AV92" s="73"/>
      <c r="AW92" s="40" t="e" cm="1">
        <f t="array" ref="AW92">IF(AND(AM92:AV92="AB"),"AB",AVERAGE(AM92:AV92))</f>
        <v>#DIV/0!</v>
      </c>
      <c r="AX92" s="70"/>
      <c r="AY92" s="37"/>
      <c r="AZ92" s="37"/>
    </row>
    <row r="93" spans="1:52" s="17" customFormat="1" ht="18" customHeight="1" x14ac:dyDescent="0.3">
      <c r="A93" s="61">
        <v>84</v>
      </c>
      <c r="B93" s="62"/>
      <c r="C93" s="63"/>
      <c r="D93" s="63"/>
      <c r="E93" s="66"/>
      <c r="F93" s="65"/>
      <c r="G93" s="65"/>
      <c r="H93" s="65"/>
      <c r="I93" s="36" cm="1">
        <f t="array" ref="I93">IF(AND(F93:H93="AB"),"AB",SUM(F93:H93))</f>
        <v>0</v>
      </c>
      <c r="J93" s="65"/>
      <c r="K93" s="65"/>
      <c r="L93" s="65"/>
      <c r="M93" s="36" cm="1">
        <f t="array" ref="M93">IF(AND(J93:L93="AB"),"AB",SUM(J93:L93))</f>
        <v>0</v>
      </c>
      <c r="N93" s="69"/>
      <c r="O93" s="63"/>
      <c r="P93" s="63"/>
      <c r="Q93" s="63"/>
      <c r="R93" s="63"/>
      <c r="S93" s="63"/>
      <c r="T93" s="70"/>
      <c r="U93" s="74"/>
      <c r="V93" s="73"/>
      <c r="W93" s="73"/>
      <c r="X93" s="73"/>
      <c r="Y93" s="38" cm="1">
        <f t="array" ref="Y93">IF(AND(U93:X93="AB"),"AB",SUM(U93:X93))</f>
        <v>0</v>
      </c>
      <c r="Z93" s="39" t="str">
        <f t="shared" si="12"/>
        <v/>
      </c>
      <c r="AA93" s="39" t="str">
        <f t="shared" si="13"/>
        <v/>
      </c>
      <c r="AB93" s="39" t="str">
        <f t="shared" si="14"/>
        <v/>
      </c>
      <c r="AC93" s="39" t="str">
        <f t="shared" si="15"/>
        <v/>
      </c>
      <c r="AD93" s="39" t="str">
        <f t="shared" si="16"/>
        <v/>
      </c>
      <c r="AE93" s="39" t="str">
        <f t="shared" si="17"/>
        <v/>
      </c>
      <c r="AF93" s="70"/>
      <c r="AG93" s="70"/>
      <c r="AH93" s="70"/>
      <c r="AI93" s="74"/>
      <c r="AJ93" s="73"/>
      <c r="AK93" s="73"/>
      <c r="AL93" s="50" cm="1">
        <f t="array" ref="AL93">IF(AND(AF93:AK93="AB"),"AB",SUM(AF93:AK93))</f>
        <v>0</v>
      </c>
      <c r="AM93" s="70"/>
      <c r="AN93" s="70"/>
      <c r="AO93" s="70"/>
      <c r="AP93" s="74"/>
      <c r="AQ93" s="73"/>
      <c r="AR93" s="73"/>
      <c r="AS93" s="73"/>
      <c r="AT93" s="73"/>
      <c r="AU93" s="73"/>
      <c r="AV93" s="73"/>
      <c r="AW93" s="40" t="e" cm="1">
        <f t="array" ref="AW93">IF(AND(AM93:AV93="AB"),"AB",AVERAGE(AM93:AV93))</f>
        <v>#DIV/0!</v>
      </c>
      <c r="AX93" s="70"/>
      <c r="AY93" s="37"/>
      <c r="AZ93" s="37"/>
    </row>
    <row r="94" spans="1:52" s="17" customFormat="1" ht="18" customHeight="1" x14ac:dyDescent="0.3">
      <c r="A94" s="61">
        <v>85</v>
      </c>
      <c r="B94" s="62"/>
      <c r="C94" s="63"/>
      <c r="D94" s="63"/>
      <c r="E94" s="66"/>
      <c r="F94" s="65"/>
      <c r="G94" s="65"/>
      <c r="H94" s="65"/>
      <c r="I94" s="36" cm="1">
        <f t="array" ref="I94">IF(AND(F94:H94="AB"),"AB",SUM(F94:H94))</f>
        <v>0</v>
      </c>
      <c r="J94" s="65"/>
      <c r="K94" s="65"/>
      <c r="L94" s="65"/>
      <c r="M94" s="36" cm="1">
        <f t="array" ref="M94">IF(AND(J94:L94="AB"),"AB",SUM(J94:L94))</f>
        <v>0</v>
      </c>
      <c r="N94" s="69"/>
      <c r="O94" s="63"/>
      <c r="P94" s="63"/>
      <c r="Q94" s="63"/>
      <c r="R94" s="63"/>
      <c r="S94" s="63"/>
      <c r="T94" s="70"/>
      <c r="U94" s="74"/>
      <c r="V94" s="73"/>
      <c r="W94" s="73"/>
      <c r="X94" s="73"/>
      <c r="Y94" s="38" cm="1">
        <f t="array" ref="Y94">IF(AND(U94:X94="AB"),"AB",SUM(U94:X94))</f>
        <v>0</v>
      </c>
      <c r="Z94" s="39" t="str">
        <f t="shared" si="12"/>
        <v/>
      </c>
      <c r="AA94" s="39" t="str">
        <f t="shared" si="13"/>
        <v/>
      </c>
      <c r="AB94" s="39" t="str">
        <f t="shared" si="14"/>
        <v/>
      </c>
      <c r="AC94" s="39" t="str">
        <f t="shared" si="15"/>
        <v/>
      </c>
      <c r="AD94" s="39" t="str">
        <f t="shared" si="16"/>
        <v/>
      </c>
      <c r="AE94" s="39" t="str">
        <f t="shared" si="17"/>
        <v/>
      </c>
      <c r="AF94" s="70"/>
      <c r="AG94" s="70"/>
      <c r="AH94" s="70"/>
      <c r="AI94" s="74"/>
      <c r="AJ94" s="73"/>
      <c r="AK94" s="73"/>
      <c r="AL94" s="50" cm="1">
        <f t="array" ref="AL94">IF(AND(AF94:AK94="AB"),"AB",SUM(AF94:AK94))</f>
        <v>0</v>
      </c>
      <c r="AM94" s="70"/>
      <c r="AN94" s="70"/>
      <c r="AO94" s="70"/>
      <c r="AP94" s="74"/>
      <c r="AQ94" s="73"/>
      <c r="AR94" s="73"/>
      <c r="AS94" s="73"/>
      <c r="AT94" s="73"/>
      <c r="AU94" s="73"/>
      <c r="AV94" s="73"/>
      <c r="AW94" s="40" t="e" cm="1">
        <f t="array" ref="AW94">IF(AND(AM94:AV94="AB"),"AB",AVERAGE(AM94:AV94))</f>
        <v>#DIV/0!</v>
      </c>
      <c r="AX94" s="70"/>
      <c r="AY94" s="37"/>
      <c r="AZ94" s="37"/>
    </row>
    <row r="95" spans="1:52" s="17" customFormat="1" ht="18" customHeight="1" x14ac:dyDescent="0.3">
      <c r="A95" s="61">
        <v>86</v>
      </c>
      <c r="B95" s="62"/>
      <c r="C95" s="63"/>
      <c r="D95" s="63"/>
      <c r="E95" s="66"/>
      <c r="F95" s="65"/>
      <c r="G95" s="65"/>
      <c r="H95" s="65"/>
      <c r="I95" s="36" cm="1">
        <f t="array" ref="I95">IF(AND(F95:H95="AB"),"AB",SUM(F95:H95))</f>
        <v>0</v>
      </c>
      <c r="J95" s="65"/>
      <c r="K95" s="65"/>
      <c r="L95" s="65"/>
      <c r="M95" s="36" cm="1">
        <f t="array" ref="M95">IF(AND(J95:L95="AB"),"AB",SUM(J95:L95))</f>
        <v>0</v>
      </c>
      <c r="N95" s="69"/>
      <c r="O95" s="63"/>
      <c r="P95" s="63"/>
      <c r="Q95" s="63"/>
      <c r="R95" s="63"/>
      <c r="S95" s="63"/>
      <c r="T95" s="70"/>
      <c r="U95" s="74"/>
      <c r="V95" s="73"/>
      <c r="W95" s="73"/>
      <c r="X95" s="73"/>
      <c r="Y95" s="38" cm="1">
        <f t="array" ref="Y95">IF(AND(U95:X95="AB"),"AB",SUM(U95:X95))</f>
        <v>0</v>
      </c>
      <c r="Z95" s="39" t="str">
        <f t="shared" si="12"/>
        <v/>
      </c>
      <c r="AA95" s="39" t="str">
        <f t="shared" si="13"/>
        <v/>
      </c>
      <c r="AB95" s="39" t="str">
        <f t="shared" si="14"/>
        <v/>
      </c>
      <c r="AC95" s="39" t="str">
        <f t="shared" si="15"/>
        <v/>
      </c>
      <c r="AD95" s="39" t="str">
        <f t="shared" si="16"/>
        <v/>
      </c>
      <c r="AE95" s="39" t="str">
        <f t="shared" si="17"/>
        <v/>
      </c>
      <c r="AF95" s="70"/>
      <c r="AG95" s="70"/>
      <c r="AH95" s="70"/>
      <c r="AI95" s="74"/>
      <c r="AJ95" s="73"/>
      <c r="AK95" s="73"/>
      <c r="AL95" s="50" cm="1">
        <f t="array" ref="AL95">IF(AND(AF95:AK95="AB"),"AB",SUM(AF95:AK95))</f>
        <v>0</v>
      </c>
      <c r="AM95" s="70"/>
      <c r="AN95" s="70"/>
      <c r="AO95" s="70"/>
      <c r="AP95" s="74"/>
      <c r="AQ95" s="73"/>
      <c r="AR95" s="73"/>
      <c r="AS95" s="73"/>
      <c r="AT95" s="73"/>
      <c r="AU95" s="73"/>
      <c r="AV95" s="73"/>
      <c r="AW95" s="40" t="e" cm="1">
        <f t="array" ref="AW95">IF(AND(AM95:AV95="AB"),"AB",AVERAGE(AM95:AV95))</f>
        <v>#DIV/0!</v>
      </c>
      <c r="AX95" s="70"/>
      <c r="AY95" s="37"/>
      <c r="AZ95" s="37"/>
    </row>
    <row r="96" spans="1:52" s="17" customFormat="1" ht="18" customHeight="1" x14ac:dyDescent="0.3">
      <c r="A96" s="61">
        <v>87</v>
      </c>
      <c r="B96" s="62"/>
      <c r="C96" s="63"/>
      <c r="D96" s="63"/>
      <c r="E96" s="66"/>
      <c r="F96" s="65"/>
      <c r="G96" s="65"/>
      <c r="H96" s="65"/>
      <c r="I96" s="36" cm="1">
        <f t="array" ref="I96">IF(AND(F96:H96="AB"),"AB",SUM(F96:H96))</f>
        <v>0</v>
      </c>
      <c r="J96" s="65"/>
      <c r="K96" s="65"/>
      <c r="L96" s="65"/>
      <c r="M96" s="36" cm="1">
        <f t="array" ref="M96">IF(AND(J96:L96="AB"),"AB",SUM(J96:L96))</f>
        <v>0</v>
      </c>
      <c r="N96" s="69"/>
      <c r="O96" s="63"/>
      <c r="P96" s="63"/>
      <c r="Q96" s="63"/>
      <c r="R96" s="63"/>
      <c r="S96" s="63"/>
      <c r="T96" s="70"/>
      <c r="U96" s="74"/>
      <c r="V96" s="73"/>
      <c r="W96" s="73"/>
      <c r="X96" s="73"/>
      <c r="Y96" s="38" cm="1">
        <f t="array" ref="Y96">IF(AND(U96:X96="AB"),"AB",SUM(U96:X96))</f>
        <v>0</v>
      </c>
      <c r="Z96" s="39" t="str">
        <f t="shared" si="12"/>
        <v/>
      </c>
      <c r="AA96" s="39" t="str">
        <f t="shared" si="13"/>
        <v/>
      </c>
      <c r="AB96" s="39" t="str">
        <f t="shared" si="14"/>
        <v/>
      </c>
      <c r="AC96" s="39" t="str">
        <f t="shared" si="15"/>
        <v/>
      </c>
      <c r="AD96" s="39" t="str">
        <f t="shared" si="16"/>
        <v/>
      </c>
      <c r="AE96" s="39" t="str">
        <f t="shared" si="17"/>
        <v/>
      </c>
      <c r="AF96" s="70"/>
      <c r="AG96" s="70"/>
      <c r="AH96" s="70"/>
      <c r="AI96" s="74"/>
      <c r="AJ96" s="73"/>
      <c r="AK96" s="73"/>
      <c r="AL96" s="50" cm="1">
        <f t="array" ref="AL96">IF(AND(AF96:AK96="AB"),"AB",SUM(AF96:AK96))</f>
        <v>0</v>
      </c>
      <c r="AM96" s="70"/>
      <c r="AN96" s="70"/>
      <c r="AO96" s="70"/>
      <c r="AP96" s="74"/>
      <c r="AQ96" s="73"/>
      <c r="AR96" s="73"/>
      <c r="AS96" s="73"/>
      <c r="AT96" s="73"/>
      <c r="AU96" s="73"/>
      <c r="AV96" s="73"/>
      <c r="AW96" s="40" t="e" cm="1">
        <f t="array" ref="AW96">IF(AND(AM96:AV96="AB"),"AB",AVERAGE(AM96:AV96))</f>
        <v>#DIV/0!</v>
      </c>
      <c r="AX96" s="70"/>
      <c r="AY96" s="37"/>
      <c r="AZ96" s="37"/>
    </row>
    <row r="97" spans="1:52" s="17" customFormat="1" ht="18" customHeight="1" x14ac:dyDescent="0.3">
      <c r="A97" s="61">
        <v>88</v>
      </c>
      <c r="B97" s="62"/>
      <c r="C97" s="63"/>
      <c r="D97" s="63"/>
      <c r="E97" s="66"/>
      <c r="F97" s="65"/>
      <c r="G97" s="65"/>
      <c r="H97" s="65"/>
      <c r="I97" s="36" cm="1">
        <f t="array" ref="I97">IF(AND(F97:H97="AB"),"AB",SUM(F97:H97))</f>
        <v>0</v>
      </c>
      <c r="J97" s="65"/>
      <c r="K97" s="65"/>
      <c r="L97" s="65"/>
      <c r="M97" s="36" cm="1">
        <f t="array" ref="M97">IF(AND(J97:L97="AB"),"AB",SUM(J97:L97))</f>
        <v>0</v>
      </c>
      <c r="N97" s="69"/>
      <c r="O97" s="63"/>
      <c r="P97" s="63"/>
      <c r="Q97" s="63"/>
      <c r="R97" s="63"/>
      <c r="S97" s="63"/>
      <c r="T97" s="70"/>
      <c r="U97" s="74"/>
      <c r="V97" s="73"/>
      <c r="W97" s="73"/>
      <c r="X97" s="73"/>
      <c r="Y97" s="38" cm="1">
        <f t="array" ref="Y97">IF(AND(U97:X97="AB"),"AB",SUM(U97:X97))</f>
        <v>0</v>
      </c>
      <c r="Z97" s="39" t="str">
        <f t="shared" si="12"/>
        <v/>
      </c>
      <c r="AA97" s="39" t="str">
        <f t="shared" si="13"/>
        <v/>
      </c>
      <c r="AB97" s="39" t="str">
        <f t="shared" si="14"/>
        <v/>
      </c>
      <c r="AC97" s="39" t="str">
        <f t="shared" si="15"/>
        <v/>
      </c>
      <c r="AD97" s="39" t="str">
        <f t="shared" si="16"/>
        <v/>
      </c>
      <c r="AE97" s="39" t="str">
        <f t="shared" si="17"/>
        <v/>
      </c>
      <c r="AF97" s="70"/>
      <c r="AG97" s="70"/>
      <c r="AH97" s="70"/>
      <c r="AI97" s="74"/>
      <c r="AJ97" s="73"/>
      <c r="AK97" s="73"/>
      <c r="AL97" s="50" cm="1">
        <f t="array" ref="AL97">IF(AND(AF97:AK97="AB"),"AB",SUM(AF97:AK97))</f>
        <v>0</v>
      </c>
      <c r="AM97" s="70"/>
      <c r="AN97" s="70"/>
      <c r="AO97" s="70"/>
      <c r="AP97" s="74"/>
      <c r="AQ97" s="73"/>
      <c r="AR97" s="73"/>
      <c r="AS97" s="73"/>
      <c r="AT97" s="73"/>
      <c r="AU97" s="73"/>
      <c r="AV97" s="73"/>
      <c r="AW97" s="40" t="e" cm="1">
        <f t="array" ref="AW97">IF(AND(AM97:AV97="AB"),"AB",AVERAGE(AM97:AV97))</f>
        <v>#DIV/0!</v>
      </c>
      <c r="AX97" s="70"/>
      <c r="AY97" s="37"/>
      <c r="AZ97" s="37"/>
    </row>
    <row r="98" spans="1:52" s="17" customFormat="1" ht="18" customHeight="1" x14ac:dyDescent="0.3">
      <c r="A98" s="61">
        <v>89</v>
      </c>
      <c r="B98" s="62"/>
      <c r="C98" s="63"/>
      <c r="D98" s="63"/>
      <c r="E98" s="66"/>
      <c r="F98" s="65"/>
      <c r="G98" s="65"/>
      <c r="H98" s="65"/>
      <c r="I98" s="36" cm="1">
        <f t="array" ref="I98">IF(AND(F98:H98="AB"),"AB",SUM(F98:H98))</f>
        <v>0</v>
      </c>
      <c r="J98" s="65"/>
      <c r="K98" s="65"/>
      <c r="L98" s="65"/>
      <c r="M98" s="36" cm="1">
        <f t="array" ref="M98">IF(AND(J98:L98="AB"),"AB",SUM(J98:L98))</f>
        <v>0</v>
      </c>
      <c r="N98" s="69"/>
      <c r="O98" s="63"/>
      <c r="P98" s="63"/>
      <c r="Q98" s="63"/>
      <c r="R98" s="63"/>
      <c r="S98" s="63"/>
      <c r="T98" s="70"/>
      <c r="U98" s="74"/>
      <c r="V98" s="73"/>
      <c r="W98" s="73"/>
      <c r="X98" s="73"/>
      <c r="Y98" s="38" cm="1">
        <f t="array" ref="Y98">IF(AND(U98:X98="AB"),"AB",SUM(U98:X98))</f>
        <v>0</v>
      </c>
      <c r="Z98" s="39" t="str">
        <f t="shared" si="12"/>
        <v/>
      </c>
      <c r="AA98" s="39" t="str">
        <f t="shared" si="13"/>
        <v/>
      </c>
      <c r="AB98" s="39" t="str">
        <f t="shared" si="14"/>
        <v/>
      </c>
      <c r="AC98" s="39" t="str">
        <f t="shared" si="15"/>
        <v/>
      </c>
      <c r="AD98" s="39" t="str">
        <f t="shared" si="16"/>
        <v/>
      </c>
      <c r="AE98" s="39" t="str">
        <f t="shared" si="17"/>
        <v/>
      </c>
      <c r="AF98" s="70"/>
      <c r="AG98" s="70"/>
      <c r="AH98" s="70"/>
      <c r="AI98" s="74"/>
      <c r="AJ98" s="73"/>
      <c r="AK98" s="73"/>
      <c r="AL98" s="50" cm="1">
        <f t="array" ref="AL98">IF(AND(AF98:AK98="AB"),"AB",SUM(AF98:AK98))</f>
        <v>0</v>
      </c>
      <c r="AM98" s="70"/>
      <c r="AN98" s="70"/>
      <c r="AO98" s="70"/>
      <c r="AP98" s="74"/>
      <c r="AQ98" s="73"/>
      <c r="AR98" s="73"/>
      <c r="AS98" s="73"/>
      <c r="AT98" s="73"/>
      <c r="AU98" s="73"/>
      <c r="AV98" s="73"/>
      <c r="AW98" s="40" t="e" cm="1">
        <f t="array" ref="AW98">IF(AND(AM98:AV98="AB"),"AB",AVERAGE(AM98:AV98))</f>
        <v>#DIV/0!</v>
      </c>
      <c r="AX98" s="70"/>
      <c r="AY98" s="37"/>
      <c r="AZ98" s="37"/>
    </row>
    <row r="99" spans="1:52" s="17" customFormat="1" ht="18" customHeight="1" x14ac:dyDescent="0.3">
      <c r="A99" s="61">
        <v>90</v>
      </c>
      <c r="B99" s="62"/>
      <c r="C99" s="63"/>
      <c r="D99" s="63"/>
      <c r="E99" s="66"/>
      <c r="F99" s="65"/>
      <c r="G99" s="65"/>
      <c r="H99" s="65"/>
      <c r="I99" s="36" cm="1">
        <f t="array" ref="I99">IF(AND(F99:H99="AB"),"AB",SUM(F99:H99))</f>
        <v>0</v>
      </c>
      <c r="J99" s="65"/>
      <c r="K99" s="65"/>
      <c r="L99" s="65"/>
      <c r="M99" s="36" cm="1">
        <f t="array" ref="M99">IF(AND(J99:L99="AB"),"AB",SUM(J99:L99))</f>
        <v>0</v>
      </c>
      <c r="N99" s="69"/>
      <c r="O99" s="63"/>
      <c r="P99" s="63"/>
      <c r="Q99" s="63"/>
      <c r="R99" s="63"/>
      <c r="S99" s="63"/>
      <c r="T99" s="70"/>
      <c r="U99" s="74"/>
      <c r="V99" s="73"/>
      <c r="W99" s="73"/>
      <c r="X99" s="73"/>
      <c r="Y99" s="38" cm="1">
        <f t="array" ref="Y99">IF(AND(U99:X99="AB"),"AB",SUM(U99:X99))</f>
        <v>0</v>
      </c>
      <c r="Z99" s="39" t="str">
        <f t="shared" si="12"/>
        <v/>
      </c>
      <c r="AA99" s="39" t="str">
        <f t="shared" si="13"/>
        <v/>
      </c>
      <c r="AB99" s="39" t="str">
        <f t="shared" si="14"/>
        <v/>
      </c>
      <c r="AC99" s="39" t="str">
        <f t="shared" si="15"/>
        <v/>
      </c>
      <c r="AD99" s="39" t="str">
        <f t="shared" si="16"/>
        <v/>
      </c>
      <c r="AE99" s="39" t="str">
        <f t="shared" si="17"/>
        <v/>
      </c>
      <c r="AF99" s="70"/>
      <c r="AG99" s="70"/>
      <c r="AH99" s="70"/>
      <c r="AI99" s="74"/>
      <c r="AJ99" s="73"/>
      <c r="AK99" s="73"/>
      <c r="AL99" s="50" cm="1">
        <f t="array" ref="AL99">IF(AND(AF99:AK99="AB"),"AB",SUM(AF99:AK99))</f>
        <v>0</v>
      </c>
      <c r="AM99" s="70"/>
      <c r="AN99" s="70"/>
      <c r="AO99" s="70"/>
      <c r="AP99" s="74"/>
      <c r="AQ99" s="73"/>
      <c r="AR99" s="73"/>
      <c r="AS99" s="73"/>
      <c r="AT99" s="73"/>
      <c r="AU99" s="73"/>
      <c r="AV99" s="73"/>
      <c r="AW99" s="40" t="e" cm="1">
        <f t="array" ref="AW99">IF(AND(AM99:AV99="AB"),"AB",AVERAGE(AM99:AV99))</f>
        <v>#DIV/0!</v>
      </c>
      <c r="AX99" s="70"/>
      <c r="AY99" s="37"/>
      <c r="AZ99" s="37"/>
    </row>
    <row r="100" spans="1:52" s="82" customFormat="1" ht="18" customHeight="1" x14ac:dyDescent="0.3">
      <c r="A100" s="80"/>
      <c r="B100" s="80"/>
      <c r="C100" s="80"/>
      <c r="D100" s="80"/>
      <c r="E100" s="80" t="s">
        <v>14</v>
      </c>
      <c r="F100" s="79">
        <f t="shared" ref="F100:M100" si="18">COUNTIF((F10:F99),"AB")</f>
        <v>9</v>
      </c>
      <c r="G100" s="79">
        <f t="shared" si="18"/>
        <v>0</v>
      </c>
      <c r="H100" s="79">
        <f t="shared" si="18"/>
        <v>1</v>
      </c>
      <c r="I100" s="42">
        <f t="shared" si="18"/>
        <v>0</v>
      </c>
      <c r="J100" s="79">
        <f t="shared" si="18"/>
        <v>9</v>
      </c>
      <c r="K100" s="79">
        <f t="shared" si="18"/>
        <v>1</v>
      </c>
      <c r="L100" s="79">
        <f t="shared" si="18"/>
        <v>2</v>
      </c>
      <c r="M100" s="42">
        <f t="shared" si="18"/>
        <v>1</v>
      </c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80"/>
      <c r="Z100" s="79">
        <f t="shared" ref="Z100:AX100" si="19">COUNTIF((Z10:Z99),"AB")</f>
        <v>1</v>
      </c>
      <c r="AA100" s="79">
        <f t="shared" si="19"/>
        <v>1</v>
      </c>
      <c r="AB100" s="79">
        <f t="shared" si="19"/>
        <v>1</v>
      </c>
      <c r="AC100" s="79">
        <f t="shared" si="19"/>
        <v>1</v>
      </c>
      <c r="AD100" s="79">
        <f t="shared" si="19"/>
        <v>0</v>
      </c>
      <c r="AE100" s="79">
        <f t="shared" si="19"/>
        <v>1</v>
      </c>
      <c r="AF100" s="79">
        <f t="shared" si="19"/>
        <v>2</v>
      </c>
      <c r="AG100" s="79">
        <f t="shared" si="19"/>
        <v>2</v>
      </c>
      <c r="AH100" s="79">
        <f t="shared" si="19"/>
        <v>2</v>
      </c>
      <c r="AI100" s="79">
        <f t="shared" si="19"/>
        <v>2</v>
      </c>
      <c r="AJ100" s="79">
        <f t="shared" si="19"/>
        <v>2</v>
      </c>
      <c r="AK100" s="79">
        <f t="shared" si="19"/>
        <v>2</v>
      </c>
      <c r="AL100" s="81">
        <f t="shared" si="19"/>
        <v>2</v>
      </c>
      <c r="AM100" s="79">
        <f t="shared" si="19"/>
        <v>4</v>
      </c>
      <c r="AN100" s="79">
        <f t="shared" si="19"/>
        <v>4</v>
      </c>
      <c r="AO100" s="79">
        <f t="shared" si="19"/>
        <v>4</v>
      </c>
      <c r="AP100" s="79">
        <f t="shared" si="19"/>
        <v>4</v>
      </c>
      <c r="AQ100" s="79">
        <f t="shared" si="19"/>
        <v>4</v>
      </c>
      <c r="AR100" s="79">
        <f t="shared" si="19"/>
        <v>4</v>
      </c>
      <c r="AS100" s="79">
        <f t="shared" si="19"/>
        <v>4</v>
      </c>
      <c r="AT100" s="79">
        <f t="shared" si="19"/>
        <v>4</v>
      </c>
      <c r="AU100" s="79">
        <f t="shared" si="19"/>
        <v>4</v>
      </c>
      <c r="AV100" s="79">
        <f t="shared" si="19"/>
        <v>4</v>
      </c>
      <c r="AW100" s="76">
        <f t="shared" si="19"/>
        <v>4</v>
      </c>
      <c r="AX100" s="79">
        <f t="shared" si="19"/>
        <v>2</v>
      </c>
      <c r="AY100" s="79"/>
      <c r="AZ100" s="79"/>
    </row>
    <row r="101" spans="1:52" s="82" customFormat="1" ht="18" customHeight="1" x14ac:dyDescent="0.3">
      <c r="A101" s="80"/>
      <c r="B101" s="80"/>
      <c r="C101" s="80"/>
      <c r="D101" s="80"/>
      <c r="E101" s="80" t="s">
        <v>13</v>
      </c>
      <c r="F101" s="79">
        <f t="shared" ref="F101:M101" si="20">COUNTIF((F10:F99),"&gt;=0")</f>
        <v>64</v>
      </c>
      <c r="G101" s="79">
        <f t="shared" si="20"/>
        <v>74</v>
      </c>
      <c r="H101" s="79">
        <f t="shared" si="20"/>
        <v>72</v>
      </c>
      <c r="I101" s="42">
        <f t="shared" si="20"/>
        <v>90</v>
      </c>
      <c r="J101" s="79">
        <f t="shared" si="20"/>
        <v>64</v>
      </c>
      <c r="K101" s="79">
        <f t="shared" si="20"/>
        <v>72</v>
      </c>
      <c r="L101" s="79">
        <f t="shared" si="20"/>
        <v>71</v>
      </c>
      <c r="M101" s="42">
        <f t="shared" si="20"/>
        <v>89</v>
      </c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80"/>
      <c r="Z101" s="79">
        <f t="shared" ref="Z101:AX101" si="21">COUNTIF((Z10:Z99),"&gt;=0")</f>
        <v>2</v>
      </c>
      <c r="AA101" s="79">
        <f t="shared" si="21"/>
        <v>2</v>
      </c>
      <c r="AB101" s="79">
        <f t="shared" si="21"/>
        <v>1</v>
      </c>
      <c r="AC101" s="79">
        <f t="shared" si="21"/>
        <v>1</v>
      </c>
      <c r="AD101" s="79">
        <f t="shared" si="21"/>
        <v>2</v>
      </c>
      <c r="AE101" s="79">
        <f t="shared" si="21"/>
        <v>2</v>
      </c>
      <c r="AF101" s="79">
        <f t="shared" si="21"/>
        <v>71</v>
      </c>
      <c r="AG101" s="79">
        <f t="shared" si="21"/>
        <v>71</v>
      </c>
      <c r="AH101" s="79">
        <f t="shared" si="21"/>
        <v>71</v>
      </c>
      <c r="AI101" s="79">
        <f t="shared" si="21"/>
        <v>71</v>
      </c>
      <c r="AJ101" s="79">
        <f t="shared" si="21"/>
        <v>71</v>
      </c>
      <c r="AK101" s="79">
        <f t="shared" si="21"/>
        <v>71</v>
      </c>
      <c r="AL101" s="81">
        <f t="shared" si="21"/>
        <v>88</v>
      </c>
      <c r="AM101" s="79">
        <f t="shared" si="21"/>
        <v>69</v>
      </c>
      <c r="AN101" s="79">
        <f t="shared" si="21"/>
        <v>69</v>
      </c>
      <c r="AO101" s="79">
        <f t="shared" si="21"/>
        <v>69</v>
      </c>
      <c r="AP101" s="79">
        <f t="shared" si="21"/>
        <v>69</v>
      </c>
      <c r="AQ101" s="79">
        <f t="shared" si="21"/>
        <v>69</v>
      </c>
      <c r="AR101" s="79">
        <f t="shared" si="21"/>
        <v>69</v>
      </c>
      <c r="AS101" s="79">
        <f t="shared" si="21"/>
        <v>69</v>
      </c>
      <c r="AT101" s="79">
        <f t="shared" si="21"/>
        <v>69</v>
      </c>
      <c r="AU101" s="79">
        <f t="shared" si="21"/>
        <v>69</v>
      </c>
      <c r="AV101" s="79">
        <f t="shared" si="21"/>
        <v>69</v>
      </c>
      <c r="AW101" s="76">
        <f t="shared" si="21"/>
        <v>69</v>
      </c>
      <c r="AX101" s="79">
        <f t="shared" si="21"/>
        <v>71</v>
      </c>
      <c r="AY101" s="79"/>
      <c r="AZ101" s="79"/>
    </row>
    <row r="102" spans="1:52" s="82" customFormat="1" ht="18" customHeight="1" x14ac:dyDescent="0.3">
      <c r="A102" s="80"/>
      <c r="B102" s="80"/>
      <c r="C102" s="80"/>
      <c r="D102" s="80"/>
      <c r="E102" s="80">
        <v>0</v>
      </c>
      <c r="F102" s="79">
        <f>COUNTIFS(F10:F99,"&gt;="&amp;G2/100*F9,F10:F99,"&lt;"&amp;H2/100*F9)</f>
        <v>24</v>
      </c>
      <c r="G102" s="79">
        <f>COUNTIFS(G10:G99,"&gt;="&amp;G2/100*G9,G10:G99,"&lt;"&amp;H2/100*G9)</f>
        <v>0</v>
      </c>
      <c r="H102" s="79">
        <f>COUNTIFS(H10:H99,"&gt;="&amp;G2/100*H9,H10:H99,"&lt;"&amp;H2/100*H9)</f>
        <v>0</v>
      </c>
      <c r="I102" s="42">
        <f>COUNTIFS(I10:I99,"&gt;="&amp;G2/100*I9,I10:I99,"&lt;"&amp;H2/100*I9)</f>
        <v>17</v>
      </c>
      <c r="J102" s="79">
        <f>COUNTIFS(J10:J99,"&gt;="&amp;G2/100*J9,J10:J99,"&lt;"&amp;H2/100*J9)</f>
        <v>24</v>
      </c>
      <c r="K102" s="79">
        <f>COUNTIFS(K10:K99,"&gt;="&amp;G2/100*K9,K10:K99,"&lt;"&amp;H2/100*K9)</f>
        <v>0</v>
      </c>
      <c r="L102" s="79">
        <f>COUNTIFS(L10:L99,"&gt;="&amp;G2/100*L9,L10:L99,"&lt;"&amp;H2/100*L9)</f>
        <v>0</v>
      </c>
      <c r="M102" s="42">
        <f>COUNTIFS(M10:M99,"&gt;="&amp;G2/100*M9,M10:M99,"&lt;"&amp;H2/100*M9)</f>
        <v>17</v>
      </c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80"/>
      <c r="Z102" s="79">
        <f>COUNTIFS(Z10:Z99,"&gt;="&amp;O2/100*Z9,Z10:Z99,"&lt;"&amp;P2/100*Z9)</f>
        <v>0</v>
      </c>
      <c r="AA102" s="79">
        <f>COUNTIFS(AA10:AA99,"&gt;="&amp;O2/100*AA9,AA10:AA99,"&lt;"&amp;P2/100*AA9)</f>
        <v>0</v>
      </c>
      <c r="AB102" s="79">
        <f>COUNTIFS(AB10:AB99,"&gt;="&amp;O2/100*AB9,AB10:AB99,"&lt;"&amp;P2/100*AB9)</f>
        <v>0</v>
      </c>
      <c r="AC102" s="79">
        <f>COUNTIFS(AC10:AC99,"&gt;="&amp;O2/100*AC9,AC10:AC99,"&lt;"&amp;P2/100*AC9)</f>
        <v>0</v>
      </c>
      <c r="AD102" s="79">
        <f>COUNTIFS(AD10:AD99,"&gt;="&amp;O2/100*AD9,AD10:AD99,"&lt;"&amp;P2/100*AD9)</f>
        <v>0</v>
      </c>
      <c r="AE102" s="79">
        <f>COUNTIFS(AE10:AE99,"&gt;="&amp;O2/100*AE9,AE10:AE99,"&lt;"&amp;P2/100*AE9)</f>
        <v>0</v>
      </c>
      <c r="AF102" s="79">
        <f>COUNTIFS(AF10:AF99,"&gt;="&amp;AG2/100*AF9,AF10:AF99,"&lt;"&amp;AH2/100*AF9)</f>
        <v>31</v>
      </c>
      <c r="AG102" s="79">
        <f>COUNTIFS(AG10:AG99,"&gt;="&amp;AG2/100*AG9,AG10:AG99,"&lt;"&amp;AH2/100*AG9)</f>
        <v>29</v>
      </c>
      <c r="AH102" s="79">
        <f>COUNTIFS(AH10:AH99,"&gt;="&amp;AG2/100*AH9,AH10:AH99,"&lt;"&amp;AH2/100*AH9)</f>
        <v>39</v>
      </c>
      <c r="AI102" s="79">
        <f>COUNTIFS(AI10:AI99,"&gt;="&amp;AG2/100*AI9,AI10:AI99,"&lt;"&amp;AH2/100*AI9)</f>
        <v>23</v>
      </c>
      <c r="AJ102" s="79">
        <f>COUNTIFS(AJ10:AJ99,"&gt;="&amp;AG2/100*AJ9,AJ10:AJ99,"&lt;"&amp;AH2/100*AJ9)</f>
        <v>14</v>
      </c>
      <c r="AK102" s="79">
        <f>COUNTIFS(AK10:AK99,"&gt;="&amp;AG2/100*AK9,AK10:AK99,"&lt;"&amp;AH2/100*AK9)</f>
        <v>18</v>
      </c>
      <c r="AL102" s="81">
        <f>COUNTIFS(AL10:AL99,"&gt;="&amp;AG2/100*AL9,AL10:AL99,"&lt;"&amp;AH2/100*AL9)</f>
        <v>43</v>
      </c>
      <c r="AM102" s="79">
        <f>COUNTIFS(AM10:AM99,"&gt;="&amp;AN2/100*AM9,AM10:AM99,"&lt;"&amp;AO2/100*AM9)</f>
        <v>0</v>
      </c>
      <c r="AN102" s="79">
        <f>COUNTIFS(AN10:AN99,"&gt;="&amp;AN2/100*AN9,AN10:AN99,"&lt;"&amp;AO2/100*AN9)</f>
        <v>0</v>
      </c>
      <c r="AO102" s="79">
        <f>COUNTIFS(AO10:AO99,"&gt;="&amp;AN2/100*AO9,AO10:AO99,"&lt;"&amp;AO2/100*AO9)</f>
        <v>1</v>
      </c>
      <c r="AP102" s="79">
        <f>COUNTIFS(AP10:AP99,"&gt;="&amp;AN2/100*AP9,AP10:AP99,"&lt;"&amp;AO2/100*AP9)</f>
        <v>0</v>
      </c>
      <c r="AQ102" s="79">
        <f>COUNTIFS(AQ10:AQ99,"&gt;="&amp;AN2/100*AQ9,AQ10:AQ99,"&lt;"&amp;AO2/100*AQ9)</f>
        <v>0</v>
      </c>
      <c r="AR102" s="79">
        <f>COUNTIFS(AR10:AR99,"&gt;="&amp;AN2/100*AR9,AR10:AR99,"&lt;"&amp;AO2/100*AR9)</f>
        <v>1</v>
      </c>
      <c r="AS102" s="79">
        <f>COUNTIFS(AS10:AS99,"&gt;="&amp;AN2/100*AS9,AS10:AS99,"&lt;"&amp;AO2/100*AS9)</f>
        <v>0</v>
      </c>
      <c r="AT102" s="79">
        <f>COUNTIFS(AT10:AT99,"&gt;="&amp;AN2/100*AT9,AT10:AT99,"&lt;"&amp;AO2/100*AT9)</f>
        <v>0</v>
      </c>
      <c r="AU102" s="79">
        <f>COUNTIFS(AU10:AU99,"&gt;="&amp;AN2/100*AU9,AU10:AU99,"&lt;"&amp;AO2/100*AU9)</f>
        <v>0</v>
      </c>
      <c r="AV102" s="79">
        <f>COUNTIFS(AV10:AV99,"&gt;="&amp;AN2/100*AV9,AV10:AV99,"&lt;"&amp;AO2/100*AV9)</f>
        <v>0</v>
      </c>
      <c r="AW102" s="76">
        <f>COUNTIFS(AW10:AW99,"&gt;="&amp;AN2/100*AW9,AW10:AW99,"&lt;"&amp;AO2/100*AW9)</f>
        <v>0</v>
      </c>
      <c r="AX102" s="79">
        <f>COUNTIFS(AX10:AX99,"&gt;="&amp;AY2/100*AX9,AX10:AX99,"&lt;"&amp;AZ2/100*AX9)</f>
        <v>0</v>
      </c>
      <c r="AY102" s="79"/>
      <c r="AZ102" s="79"/>
    </row>
    <row r="103" spans="1:52" s="82" customFormat="1" ht="18" customHeight="1" x14ac:dyDescent="0.3">
      <c r="A103" s="80"/>
      <c r="B103" s="80"/>
      <c r="C103" s="80"/>
      <c r="D103" s="80"/>
      <c r="E103" s="80">
        <v>1</v>
      </c>
      <c r="F103" s="79">
        <f>COUNTIFS(F10:F99,"&gt;="&amp;G3/100*F9,F10:F99,"&lt;"&amp;H3/100*F9)</f>
        <v>8</v>
      </c>
      <c r="G103" s="79">
        <f>COUNTIFS(G10:G99,"&gt;="&amp;G3/100*G9,G10:G99,"&lt;"&amp;H3/100*G9)</f>
        <v>0</v>
      </c>
      <c r="H103" s="79">
        <f>COUNTIFS(H10:H99,"&gt;="&amp;G3/100*H9,H10:H99,"&lt;"&amp;H3/100*H9)</f>
        <v>0</v>
      </c>
      <c r="I103" s="42">
        <f>COUNTIFS(I10:I99,"&gt;="&amp;G3/100*I9,I10:I99,"&lt;"&amp;H3/100*I9)</f>
        <v>0</v>
      </c>
      <c r="J103" s="79">
        <f>COUNTIFS(J10:J99,"&gt;="&amp;G3/100*J9,J10:J99,"&lt;"&amp;H3/100*J9)</f>
        <v>8</v>
      </c>
      <c r="K103" s="79">
        <f>COUNTIFS(K10:K99,"&gt;="&amp;G3/100*K9,K10:K99,"&lt;"&amp;H3/100*K9)</f>
        <v>0</v>
      </c>
      <c r="L103" s="79">
        <f>COUNTIFS(L10:L99,"&gt;="&amp;G3/100*L9,L10:L99,"&lt;"&amp;H3/100*L9)</f>
        <v>0</v>
      </c>
      <c r="M103" s="42">
        <f>COUNTIFS(M10:M99,"&gt;="&amp;G3/100*M9,M10:M99,"&lt;"&amp;H3/100*M9)</f>
        <v>0</v>
      </c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80"/>
      <c r="Z103" s="79">
        <f>COUNTIFS(Z10:Z99,"&gt;="&amp;O3/100*Z9,Z10:Z99,"&lt;"&amp;P3/100*Z9)</f>
        <v>0</v>
      </c>
      <c r="AA103" s="79">
        <f>COUNTIFS(AA10:AA99,"&gt;="&amp;O3/100*AA9,AA10:AA99,"&lt;"&amp;P3/100*AA9)</f>
        <v>0</v>
      </c>
      <c r="AB103" s="79">
        <f>COUNTIFS(AB10:AB99,"&gt;="&amp;O3/100*AB9,AB10:AB99,"&lt;"&amp;P3/100*AB9)</f>
        <v>0</v>
      </c>
      <c r="AC103" s="79">
        <f>COUNTIFS(AC10:AC99,"&gt;="&amp;O3/100*AC9,AC10:AC99,"&lt;"&amp;P3/100*AC9)</f>
        <v>0</v>
      </c>
      <c r="AD103" s="79">
        <f>COUNTIFS(AD10:AD99,"&gt;="&amp;O3/100*AD9,AD10:AD99,"&lt;"&amp;P3/100*AD9)</f>
        <v>0</v>
      </c>
      <c r="AE103" s="79">
        <f>COUNTIFS(AE10:AE99,"&gt;="&amp;O3/100*AE9,AE10:AE99,"&lt;"&amp;P3/100*AE9)</f>
        <v>0</v>
      </c>
      <c r="AF103" s="79">
        <f>COUNTIFS(AF10:AF99,"&gt;="&amp;AG3/100*AF9,AF10:AF99,"&lt;"&amp;AH3/100*AF9)</f>
        <v>6</v>
      </c>
      <c r="AG103" s="79">
        <f>COUNTIFS(AG10:AG99,"&gt;="&amp;AG3/100*AG9,AG10:AG99,"&lt;"&amp;AH3/100*AG9)</f>
        <v>7</v>
      </c>
      <c r="AH103" s="79">
        <f>COUNTIFS(AH10:AH99,"&gt;="&amp;AG3/100*AH9,AH10:AH99,"&lt;"&amp;AH3/100*AH9)</f>
        <v>8</v>
      </c>
      <c r="AI103" s="79">
        <f>COUNTIFS(AI10:AI99,"&gt;="&amp;AG3/100*AI9,AI10:AI99,"&lt;"&amp;AH3/100*AI9)</f>
        <v>13</v>
      </c>
      <c r="AJ103" s="79">
        <f>COUNTIFS(AJ10:AJ99,"&gt;="&amp;AG3/100*AJ9,AJ10:AJ99,"&lt;"&amp;AH3/100*AJ9)</f>
        <v>8</v>
      </c>
      <c r="AK103" s="79">
        <f>COUNTIFS(AK10:AK99,"&gt;="&amp;AG3/100*AK9,AK10:AK99,"&lt;"&amp;AH3/100*AK9)</f>
        <v>18</v>
      </c>
      <c r="AL103" s="81">
        <f>COUNTIFS(AL10:AL99,"&gt;="&amp;AG3/100*AL9,AL10:AL99,"&lt;"&amp;AH3/100*AL9)</f>
        <v>11</v>
      </c>
      <c r="AM103" s="79">
        <f>COUNTIFS(AM10:AM99,"&gt;="&amp;AN3/100*AM9,AM10:AM99,"&lt;"&amp;AO3/100*AM9)</f>
        <v>7</v>
      </c>
      <c r="AN103" s="79">
        <f>COUNTIFS(AN10:AN99,"&gt;="&amp;AN3/100*AN9,AN10:AN99,"&lt;"&amp;AO3/100*AN9)</f>
        <v>5</v>
      </c>
      <c r="AO103" s="79">
        <f>COUNTIFS(AO10:AO99,"&gt;="&amp;AN3/100*AO9,AO10:AO99,"&lt;"&amp;AO3/100*AO9)</f>
        <v>10</v>
      </c>
      <c r="AP103" s="79">
        <f>COUNTIFS(AP10:AP99,"&gt;="&amp;AN3/100*AP9,AP10:AP99,"&lt;"&amp;AO3/100*AP9)</f>
        <v>8</v>
      </c>
      <c r="AQ103" s="79">
        <f>COUNTIFS(AQ10:AQ99,"&gt;="&amp;AN3/100*AQ9,AQ10:AQ99,"&lt;"&amp;AO3/100*AQ9)</f>
        <v>6</v>
      </c>
      <c r="AR103" s="79">
        <f>COUNTIFS(AR10:AR99,"&gt;="&amp;AN3/100*AR9,AR10:AR99,"&lt;"&amp;AO3/100*AR9)</f>
        <v>10</v>
      </c>
      <c r="AS103" s="79">
        <f>COUNTIFS(AS10:AS99,"&gt;="&amp;AN3/100*AS9,AS10:AS99,"&lt;"&amp;AO3/100*AS9)</f>
        <v>8</v>
      </c>
      <c r="AT103" s="79">
        <f>COUNTIFS(AT10:AT99,"&gt;="&amp;AN3/100*AT9,AT10:AT99,"&lt;"&amp;AO3/100*AT9)</f>
        <v>5</v>
      </c>
      <c r="AU103" s="79">
        <f>COUNTIFS(AU10:AU99,"&gt;="&amp;AN3/100*AU9,AU10:AU99,"&lt;"&amp;AO3/100*AU9)</f>
        <v>5</v>
      </c>
      <c r="AV103" s="79">
        <f>COUNTIFS(AV10:AV99,"&gt;="&amp;AN3/100*AV9,AV10:AV99,"&lt;"&amp;AO3/100*AV9)</f>
        <v>5</v>
      </c>
      <c r="AW103" s="76">
        <f>COUNTIFS(AW10:AW99,"&gt;="&amp;AN3/100*AW9,AW10:AW99,"&lt;"&amp;AO3/100*AW9)</f>
        <v>1</v>
      </c>
      <c r="AX103" s="79">
        <f>COUNTIFS(AX10:AX99,"&gt;="&amp;AY3/100*AX9,AX10:AX99,"&lt;"&amp;AZ3/100*AX9)</f>
        <v>6</v>
      </c>
      <c r="AY103" s="79"/>
      <c r="AZ103" s="79"/>
    </row>
    <row r="104" spans="1:52" s="82" customFormat="1" ht="18" customHeight="1" x14ac:dyDescent="0.3">
      <c r="A104" s="80"/>
      <c r="B104" s="80"/>
      <c r="C104" s="80"/>
      <c r="D104" s="80"/>
      <c r="E104" s="80">
        <v>2</v>
      </c>
      <c r="F104" s="79">
        <f>COUNTIFS(F10:F99,"&gt;="&amp;G4/100*F9,F10:F99,"&lt;"&amp;H4/100*F9)</f>
        <v>8</v>
      </c>
      <c r="G104" s="79">
        <f>COUNTIFS(G10:G99,"&gt;="&amp;G4/100*G9,G10:G99,"&lt;"&amp;H4/100*G9)</f>
        <v>0</v>
      </c>
      <c r="H104" s="79">
        <f>COUNTIFS(H10:H99,"&gt;="&amp;G4/100*H9,H10:H99,"&lt;"&amp;H4/100*H9)</f>
        <v>0</v>
      </c>
      <c r="I104" s="42">
        <f>COUNTIFS(I10:I99,"&gt;="&amp;G4/100*I9,I10:I99,"&lt;"&amp;H4/100*I9)</f>
        <v>18</v>
      </c>
      <c r="J104" s="79">
        <f>COUNTIFS(J10:J99,"&gt;="&amp;G4/100*J9,J10:J99,"&lt;"&amp;H4/100*J9)</f>
        <v>8</v>
      </c>
      <c r="K104" s="79">
        <f>COUNTIFS(K10:K99,"&gt;="&amp;G4/100*K9,K10:K99,"&lt;"&amp;H4/100*K9)</f>
        <v>0</v>
      </c>
      <c r="L104" s="79">
        <f>COUNTIFS(L10:L99,"&gt;="&amp;G4/100*L9,L10:L99,"&lt;"&amp;H4/100*L9)</f>
        <v>0</v>
      </c>
      <c r="M104" s="42">
        <f>COUNTIFS(M10:M99,"&gt;="&amp;G4/100*M9,M10:M99,"&lt;"&amp;H4/100*M9)</f>
        <v>17</v>
      </c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80"/>
      <c r="Z104" s="79">
        <f>COUNTIFS(Z10:Z99,"&gt;="&amp;O4/100*Z9,Z10:Z99,"&lt;"&amp;P4/100*Z9)</f>
        <v>0</v>
      </c>
      <c r="AA104" s="79">
        <f>COUNTIFS(AA10:AA99,"&gt;="&amp;O4/100*AA9,AA10:AA99,"&lt;"&amp;P4/100*AA9)</f>
        <v>0</v>
      </c>
      <c r="AB104" s="79">
        <f>COUNTIFS(AB10:AB99,"&gt;="&amp;O4/100*AB9,AB10:AB99,"&lt;"&amp;P4/100*AB9)</f>
        <v>0</v>
      </c>
      <c r="AC104" s="79">
        <f>COUNTIFS(AC10:AC99,"&gt;="&amp;O4/100*AC9,AC10:AC99,"&lt;"&amp;P4/100*AC9)</f>
        <v>0</v>
      </c>
      <c r="AD104" s="79">
        <f>COUNTIFS(AD10:AD99,"&gt;="&amp;O4/100*AD9,AD10:AD99,"&lt;"&amp;P4/100*AD9)</f>
        <v>0</v>
      </c>
      <c r="AE104" s="79">
        <f>COUNTIFS(AE10:AE99,"&gt;="&amp;O4/100*AE9,AE10:AE99,"&lt;"&amp;P4/100*AE9)</f>
        <v>0</v>
      </c>
      <c r="AF104" s="79">
        <f>COUNTIFS(AF10:AF99,"&gt;="&amp;AG4/100*AF9,AF10:AF99,"&lt;"&amp;AH4/100*AF9)</f>
        <v>4</v>
      </c>
      <c r="AG104" s="79">
        <f>COUNTIFS(AG10:AG99,"&gt;="&amp;AG4/100*AG9,AG10:AG99,"&lt;"&amp;AH4/100*AG9)</f>
        <v>1</v>
      </c>
      <c r="AH104" s="79">
        <f>COUNTIFS(AH10:AH99,"&gt;="&amp;AG4/100*AH9,AH10:AH99,"&lt;"&amp;AH4/100*AH9)</f>
        <v>8</v>
      </c>
      <c r="AI104" s="79">
        <f>COUNTIFS(AI10:AI99,"&gt;="&amp;AG4/100*AI9,AI10:AI99,"&lt;"&amp;AH4/100*AI9)</f>
        <v>12</v>
      </c>
      <c r="AJ104" s="79">
        <f>COUNTIFS(AJ10:AJ99,"&gt;="&amp;AG4/100*AJ9,AJ10:AJ99,"&lt;"&amp;AH4/100*AJ9)</f>
        <v>14</v>
      </c>
      <c r="AK104" s="79">
        <f>COUNTIFS(AK10:AK99,"&gt;="&amp;AG4/100*AK9,AK10:AK99,"&lt;"&amp;AH4/100*AK9)</f>
        <v>7</v>
      </c>
      <c r="AL104" s="81">
        <f>COUNTIFS(AL10:AL99,"&gt;="&amp;AG4/100*AL9,AL10:AL99,"&lt;"&amp;AH4/100*AL9)</f>
        <v>13</v>
      </c>
      <c r="AM104" s="79">
        <f>COUNTIFS(AM10:AM99,"&gt;="&amp;AN4/100*AM9,AM10:AM99,"&lt;"&amp;AO4/100*AM9)</f>
        <v>23</v>
      </c>
      <c r="AN104" s="79">
        <f>COUNTIFS(AN10:AN99,"&gt;="&amp;AN4/100*AN9,AN10:AN99,"&lt;"&amp;AO4/100*AN9)</f>
        <v>19</v>
      </c>
      <c r="AO104" s="79">
        <f>COUNTIFS(AO10:AO99,"&gt;="&amp;AN4/100*AO9,AO10:AO99,"&lt;"&amp;AO4/100*AO9)</f>
        <v>19</v>
      </c>
      <c r="AP104" s="79">
        <f>COUNTIFS(AP10:AP99,"&gt;="&amp;AN4/100*AP9,AP10:AP99,"&lt;"&amp;AO4/100*AP9)</f>
        <v>23</v>
      </c>
      <c r="AQ104" s="79">
        <f>COUNTIFS(AQ10:AQ99,"&gt;="&amp;AN4/100*AQ9,AQ10:AQ99,"&lt;"&amp;AO4/100*AQ9)</f>
        <v>19</v>
      </c>
      <c r="AR104" s="79">
        <f>COUNTIFS(AR10:AR99,"&gt;="&amp;AN4/100*AR9,AR10:AR99,"&lt;"&amp;AO4/100*AR9)</f>
        <v>19</v>
      </c>
      <c r="AS104" s="79">
        <f>COUNTIFS(AS10:AS99,"&gt;="&amp;AN4/100*AS9,AS10:AS99,"&lt;"&amp;AO4/100*AS9)</f>
        <v>28</v>
      </c>
      <c r="AT104" s="79">
        <f>COUNTIFS(AT10:AT99,"&gt;="&amp;AN4/100*AT9,AT10:AT99,"&lt;"&amp;AO4/100*AT9)</f>
        <v>26</v>
      </c>
      <c r="AU104" s="79">
        <f>COUNTIFS(AU10:AU99,"&gt;="&amp;AN4/100*AU9,AU10:AU99,"&lt;"&amp;AO4/100*AU9)</f>
        <v>26</v>
      </c>
      <c r="AV104" s="79">
        <f>COUNTIFS(AV10:AV99,"&gt;="&amp;AN4/100*AV9,AV10:AV99,"&lt;"&amp;AO4/100*AV9)</f>
        <v>26</v>
      </c>
      <c r="AW104" s="76">
        <f>COUNTIFS(AW10:AW99,"&gt;="&amp;AN4/100*AW9,AW10:AW99,"&lt;"&amp;AO4/100*AW9)</f>
        <v>30</v>
      </c>
      <c r="AX104" s="79">
        <f>COUNTIFS(AX10:AX99,"&gt;="&amp;AY4/100*AX9,AX10:AX99,"&lt;"&amp;AZ4/100*AX9)</f>
        <v>26</v>
      </c>
      <c r="AY104" s="79"/>
      <c r="AZ104" s="79"/>
    </row>
    <row r="105" spans="1:52" s="82" customFormat="1" ht="18" customHeight="1" x14ac:dyDescent="0.3">
      <c r="A105" s="80"/>
      <c r="B105" s="80"/>
      <c r="C105" s="80"/>
      <c r="D105" s="80"/>
      <c r="E105" s="80">
        <v>3</v>
      </c>
      <c r="F105" s="79">
        <f>COUNTIFS(F10:F99,"&gt;="&amp;G5/100*F9)</f>
        <v>24</v>
      </c>
      <c r="G105" s="79">
        <f>COUNTIFS(G10:G99,"&gt;="&amp;G5/100*G9)</f>
        <v>74</v>
      </c>
      <c r="H105" s="79">
        <f>COUNTIFS(H10:H99,"&gt;="&amp;G5/100*H9)</f>
        <v>72</v>
      </c>
      <c r="I105" s="42">
        <f>COUNTIFS(I10:I99,"&gt;="&amp;G5/100*I9)</f>
        <v>55</v>
      </c>
      <c r="J105" s="79">
        <f>COUNTIFS(J10:J99,"&gt;="&amp;G5/100*J9)</f>
        <v>24</v>
      </c>
      <c r="K105" s="79">
        <f>COUNTIFS(K10:K99,"&gt;="&amp;G5/100*K9)</f>
        <v>72</v>
      </c>
      <c r="L105" s="79">
        <f>COUNTIFS(L10:L99,"&gt;="&amp;G5/100*L9)</f>
        <v>71</v>
      </c>
      <c r="M105" s="42">
        <f>COUNTIFS(M10:M99,"&gt;="&amp;G5/100*M9)</f>
        <v>55</v>
      </c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80"/>
      <c r="Z105" s="79">
        <f>COUNTIFS(Z10:Z99,"&gt;="&amp;O5/100*Z9)</f>
        <v>2</v>
      </c>
      <c r="AA105" s="79">
        <f>COUNTIFS(AA10:AA99,"&gt;="&amp;O5/100*AA9)</f>
        <v>2</v>
      </c>
      <c r="AB105" s="79">
        <f>COUNTIFS(AB10:AB99,"&gt;="&amp;O5/100*AB9)</f>
        <v>1</v>
      </c>
      <c r="AC105" s="79">
        <f>COUNTIFS(AC10:AC99,"&gt;="&amp;O5/100*AC9)</f>
        <v>1</v>
      </c>
      <c r="AD105" s="79">
        <f>COUNTIFS(AD10:AD99,"&gt;="&amp;O5/100*AD9)</f>
        <v>2</v>
      </c>
      <c r="AE105" s="79">
        <f>COUNTIFS(AE10:AE99,"&gt;="&amp;O5/100*AE9)</f>
        <v>2</v>
      </c>
      <c r="AF105" s="79">
        <f>COUNTIFS(AF10:AF99,"&gt;="&amp;AG5/100*AF9)</f>
        <v>30</v>
      </c>
      <c r="AG105" s="79">
        <f>COUNTIFS(AG10:AG99,"&gt;="&amp;AG5/100*AG9)</f>
        <v>34</v>
      </c>
      <c r="AH105" s="79">
        <f>COUNTIFS(AH10:AH99,"&gt;="&amp;AG5/100*AH9)</f>
        <v>16</v>
      </c>
      <c r="AI105" s="79">
        <f>COUNTIFS(AI10:AI99,"&gt;="&amp;AG5/100*AI9)</f>
        <v>23</v>
      </c>
      <c r="AJ105" s="79">
        <f>COUNTIFS(AJ10:AJ99,"&gt;="&amp;AG5/100*AJ9)</f>
        <v>35</v>
      </c>
      <c r="AK105" s="79">
        <f>COUNTIFS(AK10:AK99,"&gt;="&amp;AG5/100*AK9)</f>
        <v>28</v>
      </c>
      <c r="AL105" s="81">
        <f>COUNTIFS(AL10:AL99,"&gt;="&amp;AG5/100*AL9)</f>
        <v>21</v>
      </c>
      <c r="AM105" s="79">
        <f>COUNTIFS(AM10:AM99,"&gt;="&amp;AN5/100*AM9)</f>
        <v>39</v>
      </c>
      <c r="AN105" s="79">
        <f>COUNTIFS(AN10:AN99,"&gt;="&amp;AN5/100*AN9)</f>
        <v>45</v>
      </c>
      <c r="AO105" s="79">
        <f>COUNTIFS(AO10:AO99,"&gt;="&amp;AN5/100*AO9)</f>
        <v>39</v>
      </c>
      <c r="AP105" s="79">
        <f>COUNTIFS(AP10:AP99,"&gt;="&amp;AN5/100*AP9)</f>
        <v>38</v>
      </c>
      <c r="AQ105" s="79">
        <f>COUNTIFS(AQ10:AQ99,"&gt;="&amp;AN5/100*AQ9)</f>
        <v>44</v>
      </c>
      <c r="AR105" s="79">
        <f>COUNTIFS(AR10:AR99,"&gt;="&amp;AN5/100*AR9)</f>
        <v>39</v>
      </c>
      <c r="AS105" s="79">
        <f>COUNTIFS(AS10:AS99,"&gt;="&amp;AN5/100*AS9)</f>
        <v>33</v>
      </c>
      <c r="AT105" s="79">
        <f>COUNTIFS(AT10:AT99,"&gt;="&amp;AN5/100*AT9)</f>
        <v>38</v>
      </c>
      <c r="AU105" s="79">
        <f>COUNTIFS(AU10:AU99,"&gt;="&amp;AN5/100*AU9)</f>
        <v>38</v>
      </c>
      <c r="AV105" s="79">
        <f>COUNTIFS(AV10:AV99,"&gt;="&amp;AN5/100*AV9)</f>
        <v>38</v>
      </c>
      <c r="AW105" s="76">
        <f>COUNTIFS(AW10:AW99,"&gt;="&amp;AN5/100*AW9)</f>
        <v>38</v>
      </c>
      <c r="AX105" s="79">
        <f>COUNTIFS(AX10:AX99,"&gt;="&amp;AY5/100*AX9)</f>
        <v>39</v>
      </c>
      <c r="AY105" s="79"/>
      <c r="AZ105" s="79"/>
    </row>
    <row r="106" spans="1:52" s="82" customFormat="1" ht="18" customHeight="1" x14ac:dyDescent="0.3">
      <c r="A106" s="80"/>
      <c r="B106" s="80"/>
      <c r="C106" s="80"/>
      <c r="D106" s="80"/>
      <c r="E106" s="80" t="s">
        <v>9</v>
      </c>
      <c r="F106" s="79">
        <f>SUM(F102:F105)</f>
        <v>64</v>
      </c>
      <c r="G106" s="79">
        <f t="shared" ref="G106:I106" si="22">SUM(G102:G105)</f>
        <v>74</v>
      </c>
      <c r="H106" s="79">
        <f t="shared" si="22"/>
        <v>72</v>
      </c>
      <c r="I106" s="42">
        <f t="shared" si="22"/>
        <v>90</v>
      </c>
      <c r="J106" s="79">
        <f>SUM(J102:J105)</f>
        <v>64</v>
      </c>
      <c r="K106" s="79">
        <f t="shared" ref="K106" si="23">SUM(K102:K105)</f>
        <v>72</v>
      </c>
      <c r="L106" s="79">
        <f t="shared" ref="L106" si="24">SUM(L102:L105)</f>
        <v>71</v>
      </c>
      <c r="M106" s="42">
        <f t="shared" ref="M106" si="25">SUM(M102:M105)</f>
        <v>89</v>
      </c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80"/>
      <c r="Z106" s="79">
        <f>SUM(Z102:Z105)</f>
        <v>2</v>
      </c>
      <c r="AA106" s="79">
        <f t="shared" ref="AA106:AE106" si="26">SUM(AA102:AA105)</f>
        <v>2</v>
      </c>
      <c r="AB106" s="79">
        <f t="shared" si="26"/>
        <v>1</v>
      </c>
      <c r="AC106" s="79">
        <f t="shared" si="26"/>
        <v>1</v>
      </c>
      <c r="AD106" s="79">
        <f t="shared" si="26"/>
        <v>2</v>
      </c>
      <c r="AE106" s="79">
        <f t="shared" si="26"/>
        <v>2</v>
      </c>
      <c r="AF106" s="79">
        <f>SUM(AF102:AF105)</f>
        <v>71</v>
      </c>
      <c r="AG106" s="79">
        <f t="shared" ref="AG106:AH106" si="27">SUM(AG102:AG105)</f>
        <v>71</v>
      </c>
      <c r="AH106" s="79">
        <f t="shared" si="27"/>
        <v>71</v>
      </c>
      <c r="AI106" s="79">
        <f>SUM(AI102:AI105)</f>
        <v>71</v>
      </c>
      <c r="AJ106" s="79">
        <f t="shared" ref="AJ106:AL106" si="28">SUM(AJ102:AJ105)</f>
        <v>71</v>
      </c>
      <c r="AK106" s="79">
        <f t="shared" si="28"/>
        <v>71</v>
      </c>
      <c r="AL106" s="81">
        <f t="shared" si="28"/>
        <v>88</v>
      </c>
      <c r="AM106" s="79">
        <f>SUM(AM102:AM105)</f>
        <v>69</v>
      </c>
      <c r="AN106" s="79">
        <f t="shared" ref="AN106:AO106" si="29">SUM(AN102:AN105)</f>
        <v>69</v>
      </c>
      <c r="AO106" s="79">
        <f t="shared" si="29"/>
        <v>69</v>
      </c>
      <c r="AP106" s="79">
        <f>SUM(AP102:AP105)</f>
        <v>69</v>
      </c>
      <c r="AQ106" s="79">
        <f t="shared" ref="AQ106:AW106" si="30">SUM(AQ102:AQ105)</f>
        <v>69</v>
      </c>
      <c r="AR106" s="79">
        <f t="shared" si="30"/>
        <v>69</v>
      </c>
      <c r="AS106" s="79">
        <f t="shared" si="30"/>
        <v>69</v>
      </c>
      <c r="AT106" s="79">
        <f t="shared" si="30"/>
        <v>69</v>
      </c>
      <c r="AU106" s="79">
        <f t="shared" ref="AU106:AV106" si="31">SUM(AU102:AU105)</f>
        <v>69</v>
      </c>
      <c r="AV106" s="79">
        <f t="shared" si="31"/>
        <v>69</v>
      </c>
      <c r="AW106" s="76">
        <f t="shared" si="30"/>
        <v>69</v>
      </c>
      <c r="AX106" s="79">
        <f>SUM(AX102:AX105)</f>
        <v>71</v>
      </c>
      <c r="AY106" s="79"/>
      <c r="AZ106" s="79"/>
    </row>
    <row r="107" spans="1:52" s="86" customFormat="1" ht="18" customHeight="1" x14ac:dyDescent="0.3">
      <c r="A107" s="32"/>
      <c r="B107" s="32"/>
      <c r="C107" s="32"/>
      <c r="D107" s="32"/>
      <c r="E107" s="32" t="s">
        <v>15</v>
      </c>
      <c r="F107" s="44">
        <f>(1*F103+2*F104+3*F105)/F106</f>
        <v>1.5</v>
      </c>
      <c r="G107" s="44">
        <f t="shared" ref="G107:I107" si="32">(1*G103+2*G104+3*G105)/G106</f>
        <v>3</v>
      </c>
      <c r="H107" s="44">
        <f t="shared" si="32"/>
        <v>3</v>
      </c>
      <c r="I107" s="44">
        <f t="shared" si="32"/>
        <v>2.2333333333333334</v>
      </c>
      <c r="J107" s="44">
        <f>(1*J103+2*J104+3*J105)/J106</f>
        <v>1.5</v>
      </c>
      <c r="K107" s="44">
        <f t="shared" ref="K107" si="33">(1*K103+2*K104+3*K105)/K106</f>
        <v>3</v>
      </c>
      <c r="L107" s="44">
        <f t="shared" ref="L107" si="34">(1*L103+2*L104+3*L105)/L106</f>
        <v>3</v>
      </c>
      <c r="M107" s="44">
        <f t="shared" ref="M107" si="35">(1*M103+2*M104+3*M105)/M106</f>
        <v>2.2359550561797752</v>
      </c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>
        <f>(1*Z103+2*Z104+3*Z105)/Z106</f>
        <v>3</v>
      </c>
      <c r="AA107" s="83">
        <f t="shared" ref="AA107:AE107" si="36">(1*AA103+2*AA104+3*AA105)/AA106</f>
        <v>3</v>
      </c>
      <c r="AB107" s="83">
        <f t="shared" si="36"/>
        <v>3</v>
      </c>
      <c r="AC107" s="83">
        <f t="shared" si="36"/>
        <v>3</v>
      </c>
      <c r="AD107" s="83">
        <f t="shared" si="36"/>
        <v>3</v>
      </c>
      <c r="AE107" s="83">
        <f t="shared" si="36"/>
        <v>3</v>
      </c>
      <c r="AF107" s="84">
        <f>(1*AF103+2*AF104+3*AF105)/AF106</f>
        <v>1.4647887323943662</v>
      </c>
      <c r="AG107" s="84">
        <f t="shared" ref="AG107:AH107" si="37">(1*AG103+2*AG104+3*AG105)/AG106</f>
        <v>1.5633802816901408</v>
      </c>
      <c r="AH107" s="84">
        <f t="shared" si="37"/>
        <v>1.0140845070422535</v>
      </c>
      <c r="AI107" s="84">
        <f>(1*AI103+2*AI104+3*AI105)/AI106</f>
        <v>1.4929577464788732</v>
      </c>
      <c r="AJ107" s="84">
        <f t="shared" ref="AJ107:AL107" si="38">(1*AJ103+2*AJ104+3*AJ105)/AJ106</f>
        <v>1.9859154929577465</v>
      </c>
      <c r="AK107" s="84">
        <f t="shared" si="38"/>
        <v>1.6338028169014085</v>
      </c>
      <c r="AL107" s="84">
        <f t="shared" si="38"/>
        <v>1.1363636363636365</v>
      </c>
      <c r="AM107" s="77">
        <f>(1*AM103+2*AM104+3*AM105)/AM106</f>
        <v>2.4637681159420288</v>
      </c>
      <c r="AN107" s="77">
        <f t="shared" ref="AN107:AO107" si="39">(1*AN103+2*AN104+3*AN105)/AN106</f>
        <v>2.5797101449275361</v>
      </c>
      <c r="AO107" s="77">
        <f t="shared" si="39"/>
        <v>2.3913043478260869</v>
      </c>
      <c r="AP107" s="77">
        <f>(1*AP103+2*AP104+3*AP105)/AP106</f>
        <v>2.4347826086956523</v>
      </c>
      <c r="AQ107" s="77">
        <f t="shared" ref="AQ107:AW107" si="40">(1*AQ103+2*AQ104+3*AQ105)/AQ106</f>
        <v>2.5507246376811592</v>
      </c>
      <c r="AR107" s="77">
        <f t="shared" si="40"/>
        <v>2.3913043478260869</v>
      </c>
      <c r="AS107" s="77">
        <f t="shared" si="40"/>
        <v>2.36231884057971</v>
      </c>
      <c r="AT107" s="77">
        <f t="shared" si="40"/>
        <v>2.4782608695652173</v>
      </c>
      <c r="AU107" s="77">
        <f t="shared" si="40"/>
        <v>2.4782608695652173</v>
      </c>
      <c r="AV107" s="77">
        <f t="shared" si="40"/>
        <v>2.4782608695652173</v>
      </c>
      <c r="AW107" s="77">
        <f t="shared" si="40"/>
        <v>2.5362318840579712</v>
      </c>
      <c r="AX107" s="85">
        <f>(1*AX103+2*AX104+3*AX105)/AX106</f>
        <v>2.464788732394366</v>
      </c>
      <c r="AY107" s="85"/>
      <c r="AZ107" s="85"/>
    </row>
    <row r="108" spans="1:52" s="17" customFormat="1" ht="18" customHeight="1" x14ac:dyDescent="0.3"/>
    <row r="109" spans="1:52" s="17" customFormat="1" ht="18" customHeight="1" x14ac:dyDescent="0.3"/>
    <row r="110" spans="1:52" s="17" customFormat="1" ht="18" customHeight="1" x14ac:dyDescent="0.3"/>
    <row r="111" spans="1:52" s="17" customFormat="1" ht="18" customHeight="1" x14ac:dyDescent="0.3"/>
    <row r="112" spans="1:52" s="17" customFormat="1" ht="18" customHeight="1" x14ac:dyDescent="0.3">
      <c r="AL112" s="41" t="s">
        <v>18</v>
      </c>
      <c r="AM112" s="23" t="s">
        <v>29</v>
      </c>
      <c r="AN112" s="23" t="s">
        <v>30</v>
      </c>
      <c r="AO112" s="23" t="s">
        <v>31</v>
      </c>
      <c r="AP112" s="23" t="s">
        <v>32</v>
      </c>
      <c r="AQ112" s="23" t="s">
        <v>33</v>
      </c>
      <c r="AR112" s="23" t="s">
        <v>34</v>
      </c>
      <c r="AS112" s="23" t="s">
        <v>35</v>
      </c>
      <c r="AT112" s="23" t="s">
        <v>36</v>
      </c>
      <c r="AU112" s="23" t="s">
        <v>206</v>
      </c>
      <c r="AV112" s="23" t="s">
        <v>207</v>
      </c>
    </row>
    <row r="113" spans="38:49" s="17" customFormat="1" ht="18" customHeight="1" x14ac:dyDescent="0.3">
      <c r="AL113" s="46" t="s">
        <v>20</v>
      </c>
      <c r="AM113" s="61">
        <v>3</v>
      </c>
      <c r="AN113" s="61"/>
      <c r="AO113" s="61"/>
      <c r="AP113" s="61"/>
      <c r="AQ113" s="61"/>
      <c r="AR113" s="61">
        <v>2</v>
      </c>
      <c r="AS113" s="61"/>
      <c r="AT113" s="61"/>
      <c r="AU113" s="61"/>
      <c r="AV113" s="61"/>
    </row>
    <row r="114" spans="38:49" s="17" customFormat="1" ht="18" customHeight="1" x14ac:dyDescent="0.3">
      <c r="AL114" s="46" t="s">
        <v>21</v>
      </c>
      <c r="AM114" s="61">
        <v>1</v>
      </c>
      <c r="AN114" s="61">
        <v>3</v>
      </c>
      <c r="AO114" s="61">
        <v>3</v>
      </c>
      <c r="AP114" s="61"/>
      <c r="AQ114" s="61">
        <v>1</v>
      </c>
      <c r="AR114" s="61"/>
      <c r="AS114" s="61"/>
      <c r="AT114" s="61">
        <v>2</v>
      </c>
      <c r="AU114" s="61"/>
      <c r="AV114" s="61"/>
    </row>
    <row r="115" spans="38:49" s="17" customFormat="1" ht="18" customHeight="1" x14ac:dyDescent="0.3">
      <c r="AL115" s="46" t="s">
        <v>22</v>
      </c>
      <c r="AM115" s="61"/>
      <c r="AN115" s="61"/>
      <c r="AO115" s="61">
        <v>2</v>
      </c>
      <c r="AP115" s="61">
        <v>3</v>
      </c>
      <c r="AQ115" s="61"/>
      <c r="AR115" s="61"/>
      <c r="AS115" s="61"/>
      <c r="AT115" s="61"/>
      <c r="AU115" s="61"/>
      <c r="AV115" s="61"/>
    </row>
    <row r="116" spans="38:49" s="17" customFormat="1" ht="18" customHeight="1" x14ac:dyDescent="0.3">
      <c r="AL116" s="46" t="s">
        <v>23</v>
      </c>
      <c r="AM116" s="61">
        <v>1</v>
      </c>
      <c r="AN116" s="61"/>
      <c r="AO116" s="61">
        <v>2</v>
      </c>
      <c r="AP116" s="61"/>
      <c r="AQ116" s="61">
        <v>3</v>
      </c>
      <c r="AR116" s="61"/>
      <c r="AS116" s="61"/>
      <c r="AT116" s="61">
        <v>2</v>
      </c>
      <c r="AU116" s="61"/>
      <c r="AV116" s="61"/>
    </row>
    <row r="117" spans="38:49" s="17" customFormat="1" ht="18" customHeight="1" x14ac:dyDescent="0.3">
      <c r="AL117" s="46" t="s">
        <v>24</v>
      </c>
      <c r="AM117" s="61"/>
      <c r="AN117" s="61"/>
      <c r="AO117" s="61"/>
      <c r="AP117" s="61">
        <v>2</v>
      </c>
      <c r="AQ117" s="61"/>
      <c r="AR117" s="61">
        <v>3</v>
      </c>
      <c r="AS117" s="61">
        <v>3</v>
      </c>
      <c r="AT117" s="61"/>
      <c r="AU117" s="61"/>
      <c r="AV117" s="61"/>
    </row>
    <row r="118" spans="38:49" s="17" customFormat="1" ht="18" customHeight="1" x14ac:dyDescent="0.3">
      <c r="AL118" s="51" t="s">
        <v>25</v>
      </c>
      <c r="AM118" s="75"/>
      <c r="AN118" s="75"/>
      <c r="AO118" s="75"/>
      <c r="AP118" s="75">
        <v>1</v>
      </c>
      <c r="AQ118" s="75">
        <v>2</v>
      </c>
      <c r="AR118" s="75"/>
      <c r="AS118" s="75"/>
      <c r="AT118" s="75">
        <v>3</v>
      </c>
      <c r="AU118" s="75"/>
      <c r="AV118" s="75"/>
    </row>
    <row r="119" spans="38:49" s="17" customFormat="1" ht="18" customHeight="1" x14ac:dyDescent="0.3">
      <c r="AL119" s="52"/>
      <c r="AM119" s="97" t="s">
        <v>39</v>
      </c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</row>
    <row r="120" spans="38:49" s="17" customFormat="1" ht="18" customHeight="1" x14ac:dyDescent="0.3">
      <c r="AL120" s="43" t="s">
        <v>39</v>
      </c>
      <c r="AM120" s="28" t="s">
        <v>29</v>
      </c>
      <c r="AN120" s="28" t="s">
        <v>30</v>
      </c>
      <c r="AO120" s="28" t="s">
        <v>31</v>
      </c>
      <c r="AP120" s="28" t="s">
        <v>32</v>
      </c>
      <c r="AQ120" s="28" t="s">
        <v>33</v>
      </c>
      <c r="AR120" s="28" t="s">
        <v>34</v>
      </c>
      <c r="AS120" s="28" t="s">
        <v>35</v>
      </c>
      <c r="AT120" s="28" t="s">
        <v>36</v>
      </c>
      <c r="AU120" s="28" t="s">
        <v>206</v>
      </c>
      <c r="AV120" s="28" t="s">
        <v>207</v>
      </c>
      <c r="AW120" s="43" t="s">
        <v>38</v>
      </c>
    </row>
    <row r="121" spans="38:49" s="17" customFormat="1" ht="18" customHeight="1" x14ac:dyDescent="0.3">
      <c r="AL121" s="49" t="s">
        <v>20</v>
      </c>
      <c r="AM121" s="48">
        <f>IF(AM113="","",AM107)</f>
        <v>2.4637681159420288</v>
      </c>
      <c r="AN121" s="48" t="str">
        <f t="shared" ref="AN121:AT121" si="41">IF(AN113="","",AN107)</f>
        <v/>
      </c>
      <c r="AO121" s="48" t="str">
        <f t="shared" si="41"/>
        <v/>
      </c>
      <c r="AP121" s="48" t="str">
        <f t="shared" si="41"/>
        <v/>
      </c>
      <c r="AQ121" s="48" t="str">
        <f t="shared" si="41"/>
        <v/>
      </c>
      <c r="AR121" s="48">
        <f t="shared" si="41"/>
        <v>2.3913043478260869</v>
      </c>
      <c r="AS121" s="48" t="str">
        <f t="shared" si="41"/>
        <v/>
      </c>
      <c r="AT121" s="48" t="str">
        <f t="shared" si="41"/>
        <v/>
      </c>
      <c r="AU121" s="48" t="str">
        <f t="shared" ref="AU121:AV121" si="42">IF(AU113="","",AU107)</f>
        <v/>
      </c>
      <c r="AV121" s="48" t="str">
        <f t="shared" si="42"/>
        <v/>
      </c>
      <c r="AW121" s="45">
        <f>AVERAGE(AM121:AV121)</f>
        <v>2.4275362318840576</v>
      </c>
    </row>
    <row r="122" spans="38:49" s="17" customFormat="1" ht="18" customHeight="1" x14ac:dyDescent="0.3">
      <c r="AL122" s="49" t="s">
        <v>21</v>
      </c>
      <c r="AM122" s="48">
        <f>IF(AM114="","",AM107)</f>
        <v>2.4637681159420288</v>
      </c>
      <c r="AN122" s="48">
        <f t="shared" ref="AN122:AT122" si="43">IF(AN114="","",AN107)</f>
        <v>2.5797101449275361</v>
      </c>
      <c r="AO122" s="48">
        <f t="shared" si="43"/>
        <v>2.3913043478260869</v>
      </c>
      <c r="AP122" s="48" t="str">
        <f t="shared" si="43"/>
        <v/>
      </c>
      <c r="AQ122" s="48">
        <f t="shared" si="43"/>
        <v>2.5507246376811592</v>
      </c>
      <c r="AR122" s="48" t="str">
        <f t="shared" si="43"/>
        <v/>
      </c>
      <c r="AS122" s="48" t="str">
        <f t="shared" si="43"/>
        <v/>
      </c>
      <c r="AT122" s="48">
        <f t="shared" si="43"/>
        <v>2.4782608695652173</v>
      </c>
      <c r="AU122" s="48" t="str">
        <f t="shared" ref="AU122:AV122" si="44">IF(AU114="","",AU107)</f>
        <v/>
      </c>
      <c r="AV122" s="48" t="str">
        <f t="shared" si="44"/>
        <v/>
      </c>
      <c r="AW122" s="45">
        <f t="shared" ref="AW122:AW126" si="45">AVERAGE(AM122:AV122)</f>
        <v>2.4927536231884053</v>
      </c>
    </row>
    <row r="123" spans="38:49" s="17" customFormat="1" ht="18" customHeight="1" x14ac:dyDescent="0.3">
      <c r="AL123" s="49" t="s">
        <v>22</v>
      </c>
      <c r="AM123" s="48" t="str">
        <f>IF(AM115="","",AM107)</f>
        <v/>
      </c>
      <c r="AN123" s="48" t="str">
        <f t="shared" ref="AN123:AT123" si="46">IF(AN115="","",AN107)</f>
        <v/>
      </c>
      <c r="AO123" s="48">
        <f t="shared" si="46"/>
        <v>2.3913043478260869</v>
      </c>
      <c r="AP123" s="48">
        <f t="shared" si="46"/>
        <v>2.4347826086956523</v>
      </c>
      <c r="AQ123" s="48" t="str">
        <f t="shared" si="46"/>
        <v/>
      </c>
      <c r="AR123" s="48" t="str">
        <f t="shared" si="46"/>
        <v/>
      </c>
      <c r="AS123" s="48" t="str">
        <f t="shared" si="46"/>
        <v/>
      </c>
      <c r="AT123" s="48" t="str">
        <f t="shared" si="46"/>
        <v/>
      </c>
      <c r="AU123" s="48" t="str">
        <f t="shared" ref="AU123:AV123" si="47">IF(AU115="","",AU107)</f>
        <v/>
      </c>
      <c r="AV123" s="48" t="str">
        <f t="shared" si="47"/>
        <v/>
      </c>
      <c r="AW123" s="45">
        <f t="shared" si="45"/>
        <v>2.4130434782608696</v>
      </c>
    </row>
    <row r="124" spans="38:49" s="17" customFormat="1" ht="18" customHeight="1" x14ac:dyDescent="0.3">
      <c r="AL124" s="49" t="s">
        <v>23</v>
      </c>
      <c r="AM124" s="48">
        <f>IF(AM116="","",AM107)</f>
        <v>2.4637681159420288</v>
      </c>
      <c r="AN124" s="48" t="str">
        <f t="shared" ref="AN124:AT124" si="48">IF(AN116="","",AN107)</f>
        <v/>
      </c>
      <c r="AO124" s="48">
        <f t="shared" si="48"/>
        <v>2.3913043478260869</v>
      </c>
      <c r="AP124" s="48" t="str">
        <f t="shared" si="48"/>
        <v/>
      </c>
      <c r="AQ124" s="48">
        <f t="shared" si="48"/>
        <v>2.5507246376811592</v>
      </c>
      <c r="AR124" s="48" t="str">
        <f t="shared" si="48"/>
        <v/>
      </c>
      <c r="AS124" s="48" t="str">
        <f t="shared" si="48"/>
        <v/>
      </c>
      <c r="AT124" s="48">
        <f t="shared" si="48"/>
        <v>2.4782608695652173</v>
      </c>
      <c r="AU124" s="48" t="str">
        <f t="shared" ref="AU124:AV124" si="49">IF(AU116="","",AU107)</f>
        <v/>
      </c>
      <c r="AV124" s="48" t="str">
        <f t="shared" si="49"/>
        <v/>
      </c>
      <c r="AW124" s="45">
        <f t="shared" si="45"/>
        <v>2.4710144927536231</v>
      </c>
    </row>
    <row r="125" spans="38:49" s="17" customFormat="1" ht="18" customHeight="1" x14ac:dyDescent="0.3">
      <c r="AL125" s="49" t="s">
        <v>24</v>
      </c>
      <c r="AM125" s="48" t="str">
        <f>IF(AM117="","",AM107)</f>
        <v/>
      </c>
      <c r="AN125" s="48" t="str">
        <f t="shared" ref="AN125:AT125" si="50">IF(AN117="","",AN107)</f>
        <v/>
      </c>
      <c r="AO125" s="48" t="str">
        <f t="shared" si="50"/>
        <v/>
      </c>
      <c r="AP125" s="48">
        <f t="shared" si="50"/>
        <v>2.4347826086956523</v>
      </c>
      <c r="AQ125" s="48" t="str">
        <f t="shared" si="50"/>
        <v/>
      </c>
      <c r="AR125" s="48">
        <f t="shared" si="50"/>
        <v>2.3913043478260869</v>
      </c>
      <c r="AS125" s="48">
        <f t="shared" si="50"/>
        <v>2.36231884057971</v>
      </c>
      <c r="AT125" s="48" t="str">
        <f t="shared" si="50"/>
        <v/>
      </c>
      <c r="AU125" s="48" t="str">
        <f t="shared" ref="AU125:AV125" si="51">IF(AU117="","",AU107)</f>
        <v/>
      </c>
      <c r="AV125" s="48" t="str">
        <f t="shared" si="51"/>
        <v/>
      </c>
      <c r="AW125" s="45">
        <f t="shared" si="45"/>
        <v>2.3961352657004831</v>
      </c>
    </row>
    <row r="126" spans="38:49" s="17" customFormat="1" ht="18" customHeight="1" x14ac:dyDescent="0.3">
      <c r="AL126" s="49" t="s">
        <v>25</v>
      </c>
      <c r="AM126" s="48" t="str">
        <f>IF(AM118="","",AM107)</f>
        <v/>
      </c>
      <c r="AN126" s="48" t="str">
        <f t="shared" ref="AN126:AT126" si="52">IF(AN118="","",AN107)</f>
        <v/>
      </c>
      <c r="AO126" s="48" t="str">
        <f t="shared" si="52"/>
        <v/>
      </c>
      <c r="AP126" s="48">
        <f t="shared" si="52"/>
        <v>2.4347826086956523</v>
      </c>
      <c r="AQ126" s="48">
        <f t="shared" si="52"/>
        <v>2.5507246376811592</v>
      </c>
      <c r="AR126" s="48" t="str">
        <f t="shared" si="52"/>
        <v/>
      </c>
      <c r="AS126" s="48" t="str">
        <f t="shared" si="52"/>
        <v/>
      </c>
      <c r="AT126" s="48">
        <f t="shared" si="52"/>
        <v>2.4782608695652173</v>
      </c>
      <c r="AU126" s="48" t="str">
        <f t="shared" ref="AU126:AV126" si="53">IF(AU118="","",AU107)</f>
        <v/>
      </c>
      <c r="AV126" s="48" t="str">
        <f t="shared" si="53"/>
        <v/>
      </c>
      <c r="AW126" s="45">
        <f t="shared" si="45"/>
        <v>2.4879227053140096</v>
      </c>
    </row>
    <row r="127" spans="38:49" s="17" customFormat="1" x14ac:dyDescent="0.3"/>
    <row r="128" spans="38:49" s="17" customFormat="1" x14ac:dyDescent="0.3"/>
    <row r="129" s="17" customFormat="1" x14ac:dyDescent="0.3"/>
    <row r="130" s="17" customFormat="1" x14ac:dyDescent="0.3"/>
    <row r="131" s="17" customFormat="1" x14ac:dyDescent="0.3"/>
    <row r="132" s="17" customFormat="1" x14ac:dyDescent="0.3"/>
    <row r="133" s="17" customFormat="1" x14ac:dyDescent="0.3"/>
    <row r="134" s="17" customFormat="1" x14ac:dyDescent="0.3"/>
    <row r="135" s="17" customFormat="1" x14ac:dyDescent="0.3"/>
    <row r="136" s="17" customFormat="1" x14ac:dyDescent="0.3"/>
    <row r="137" s="17" customFormat="1" x14ac:dyDescent="0.3"/>
    <row r="138" s="17" customFormat="1" x14ac:dyDescent="0.3"/>
    <row r="139" s="17" customFormat="1" x14ac:dyDescent="0.3"/>
    <row r="140" s="17" customFormat="1" x14ac:dyDescent="0.3"/>
    <row r="141" s="17" customFormat="1" x14ac:dyDescent="0.3"/>
    <row r="142" s="17" customFormat="1" x14ac:dyDescent="0.3"/>
    <row r="143" s="17" customFormat="1" x14ac:dyDescent="0.3"/>
    <row r="144" s="17" customFormat="1" x14ac:dyDescent="0.3"/>
    <row r="145" s="17" customFormat="1" x14ac:dyDescent="0.3"/>
    <row r="146" s="17" customFormat="1" x14ac:dyDescent="0.3"/>
    <row r="147" s="17" customFormat="1" x14ac:dyDescent="0.3"/>
    <row r="148" s="17" customFormat="1" x14ac:dyDescent="0.3"/>
    <row r="149" s="17" customFormat="1" x14ac:dyDescent="0.3"/>
    <row r="150" s="17" customFormat="1" x14ac:dyDescent="0.3"/>
    <row r="151" s="17" customFormat="1" x14ac:dyDescent="0.3"/>
    <row r="152" s="17" customFormat="1" x14ac:dyDescent="0.3"/>
    <row r="153" s="17" customFormat="1" x14ac:dyDescent="0.3"/>
    <row r="154" s="17" customFormat="1" x14ac:dyDescent="0.3"/>
    <row r="155" s="17" customFormat="1" x14ac:dyDescent="0.3"/>
    <row r="156" s="17" customFormat="1" x14ac:dyDescent="0.3"/>
    <row r="157" s="17" customFormat="1" x14ac:dyDescent="0.3"/>
    <row r="158" s="17" customFormat="1" x14ac:dyDescent="0.3"/>
    <row r="159" s="17" customFormat="1" x14ac:dyDescent="0.3"/>
    <row r="160" s="17" customFormat="1" x14ac:dyDescent="0.3"/>
    <row r="161" s="17" customFormat="1" x14ac:dyDescent="0.3"/>
    <row r="162" s="17" customFormat="1" x14ac:dyDescent="0.3"/>
    <row r="163" s="17" customFormat="1" x14ac:dyDescent="0.3"/>
    <row r="164" s="17" customFormat="1" x14ac:dyDescent="0.3"/>
    <row r="165" s="17" customFormat="1" x14ac:dyDescent="0.3"/>
    <row r="166" s="17" customFormat="1" x14ac:dyDescent="0.3"/>
    <row r="167" s="17" customFormat="1" x14ac:dyDescent="0.3"/>
    <row r="168" s="17" customFormat="1" x14ac:dyDescent="0.3"/>
    <row r="169" s="17" customFormat="1" x14ac:dyDescent="0.3"/>
    <row r="170" s="17" customFormat="1" x14ac:dyDescent="0.3"/>
    <row r="171" s="17" customFormat="1" x14ac:dyDescent="0.3"/>
    <row r="172" s="17" customFormat="1" x14ac:dyDescent="0.3"/>
    <row r="173" s="17" customFormat="1" x14ac:dyDescent="0.3"/>
    <row r="174" s="17" customFormat="1" x14ac:dyDescent="0.3"/>
    <row r="175" s="17" customFormat="1" x14ac:dyDescent="0.3"/>
    <row r="176" s="17" customFormat="1" x14ac:dyDescent="0.3"/>
    <row r="177" s="17" customFormat="1" x14ac:dyDescent="0.3"/>
    <row r="178" s="17" customFormat="1" x14ac:dyDescent="0.3"/>
    <row r="179" s="17" customFormat="1" x14ac:dyDescent="0.3"/>
    <row r="180" s="17" customFormat="1" x14ac:dyDescent="0.3"/>
    <row r="181" s="17" customFormat="1" x14ac:dyDescent="0.3"/>
    <row r="182" s="17" customFormat="1" x14ac:dyDescent="0.3"/>
    <row r="183" s="17" customFormat="1" x14ac:dyDescent="0.3"/>
    <row r="184" s="17" customFormat="1" x14ac:dyDescent="0.3"/>
    <row r="185" s="17" customFormat="1" x14ac:dyDescent="0.3"/>
    <row r="186" s="17" customFormat="1" x14ac:dyDescent="0.3"/>
    <row r="187" s="17" customFormat="1" x14ac:dyDescent="0.3"/>
    <row r="188" s="17" customFormat="1" x14ac:dyDescent="0.3"/>
    <row r="189" s="17" customFormat="1" x14ac:dyDescent="0.3"/>
    <row r="190" s="17" customFormat="1" x14ac:dyDescent="0.3"/>
    <row r="191" s="17" customFormat="1" x14ac:dyDescent="0.3"/>
    <row r="192" s="17" customFormat="1" x14ac:dyDescent="0.3"/>
    <row r="193" s="17" customFormat="1" x14ac:dyDescent="0.3"/>
    <row r="194" s="17" customFormat="1" x14ac:dyDescent="0.3"/>
    <row r="195" s="17" customFormat="1" x14ac:dyDescent="0.3"/>
    <row r="196" s="17" customFormat="1" x14ac:dyDescent="0.3"/>
    <row r="197" s="17" customFormat="1" x14ac:dyDescent="0.3"/>
    <row r="198" s="17" customFormat="1" x14ac:dyDescent="0.3"/>
    <row r="199" s="17" customFormat="1" x14ac:dyDescent="0.3"/>
    <row r="200" s="17" customFormat="1" x14ac:dyDescent="0.3"/>
    <row r="201" s="17" customFormat="1" x14ac:dyDescent="0.3"/>
    <row r="202" s="17" customFormat="1" x14ac:dyDescent="0.3"/>
    <row r="203" s="17" customFormat="1" x14ac:dyDescent="0.3"/>
    <row r="204" s="17" customFormat="1" x14ac:dyDescent="0.3"/>
    <row r="205" s="17" customFormat="1" x14ac:dyDescent="0.3"/>
    <row r="206" s="17" customFormat="1" x14ac:dyDescent="0.3"/>
    <row r="207" s="17" customFormat="1" x14ac:dyDescent="0.3"/>
    <row r="208" s="17" customFormat="1" x14ac:dyDescent="0.3"/>
    <row r="209" s="17" customFormat="1" x14ac:dyDescent="0.3"/>
    <row r="210" s="17" customFormat="1" x14ac:dyDescent="0.3"/>
    <row r="211" s="17" customFormat="1" x14ac:dyDescent="0.3"/>
    <row r="212" s="17" customFormat="1" x14ac:dyDescent="0.3"/>
    <row r="213" s="17" customFormat="1" x14ac:dyDescent="0.3"/>
    <row r="214" s="17" customFormat="1" x14ac:dyDescent="0.3"/>
    <row r="215" s="17" customFormat="1" x14ac:dyDescent="0.3"/>
    <row r="216" s="17" customFormat="1" x14ac:dyDescent="0.3"/>
    <row r="217" s="17" customFormat="1" x14ac:dyDescent="0.3"/>
    <row r="218" s="17" customFormat="1" x14ac:dyDescent="0.3"/>
    <row r="219" s="17" customFormat="1" x14ac:dyDescent="0.3"/>
    <row r="220" s="17" customFormat="1" x14ac:dyDescent="0.3"/>
    <row r="221" s="17" customFormat="1" x14ac:dyDescent="0.3"/>
    <row r="222" s="17" customFormat="1" x14ac:dyDescent="0.3"/>
    <row r="223" s="17" customFormat="1" x14ac:dyDescent="0.3"/>
    <row r="224" s="17" customFormat="1" x14ac:dyDescent="0.3"/>
    <row r="225" s="17" customFormat="1" x14ac:dyDescent="0.3"/>
    <row r="226" s="17" customFormat="1" x14ac:dyDescent="0.3"/>
    <row r="227" s="17" customFormat="1" x14ac:dyDescent="0.3"/>
    <row r="228" s="17" customFormat="1" x14ac:dyDescent="0.3"/>
    <row r="229" s="17" customFormat="1" x14ac:dyDescent="0.3"/>
    <row r="230" s="17" customFormat="1" x14ac:dyDescent="0.3"/>
    <row r="231" s="17" customFormat="1" x14ac:dyDescent="0.3"/>
    <row r="232" s="17" customFormat="1" x14ac:dyDescent="0.3"/>
    <row r="233" s="17" customFormat="1" x14ac:dyDescent="0.3"/>
    <row r="234" s="17" customFormat="1" x14ac:dyDescent="0.3"/>
    <row r="235" s="17" customFormat="1" x14ac:dyDescent="0.3"/>
    <row r="236" s="17" customFormat="1" x14ac:dyDescent="0.3"/>
    <row r="237" s="17" customFormat="1" x14ac:dyDescent="0.3"/>
    <row r="238" s="17" customFormat="1" x14ac:dyDescent="0.3"/>
    <row r="239" s="17" customFormat="1" x14ac:dyDescent="0.3"/>
    <row r="240" s="17" customFormat="1" x14ac:dyDescent="0.3"/>
    <row r="241" s="17" customFormat="1" x14ac:dyDescent="0.3"/>
    <row r="242" s="17" customFormat="1" x14ac:dyDescent="0.3"/>
    <row r="243" s="17" customFormat="1" x14ac:dyDescent="0.3"/>
    <row r="244" s="17" customFormat="1" x14ac:dyDescent="0.3"/>
    <row r="245" s="17" customFormat="1" x14ac:dyDescent="0.3"/>
    <row r="246" s="17" customFormat="1" x14ac:dyDescent="0.3"/>
    <row r="247" s="17" customFormat="1" x14ac:dyDescent="0.3"/>
    <row r="248" s="17" customFormat="1" x14ac:dyDescent="0.3"/>
    <row r="249" s="17" customFormat="1" x14ac:dyDescent="0.3"/>
    <row r="250" s="17" customFormat="1" x14ac:dyDescent="0.3"/>
    <row r="251" s="17" customFormat="1" x14ac:dyDescent="0.3"/>
    <row r="252" s="17" customFormat="1" x14ac:dyDescent="0.3"/>
    <row r="253" s="17" customFormat="1" x14ac:dyDescent="0.3"/>
    <row r="254" s="17" customFormat="1" x14ac:dyDescent="0.3"/>
    <row r="255" s="17" customFormat="1" x14ac:dyDescent="0.3"/>
    <row r="256" s="17" customFormat="1" x14ac:dyDescent="0.3"/>
    <row r="257" s="17" customFormat="1" x14ac:dyDescent="0.3"/>
    <row r="258" s="17" customFormat="1" x14ac:dyDescent="0.3"/>
    <row r="259" s="17" customFormat="1" x14ac:dyDescent="0.3"/>
    <row r="260" s="17" customFormat="1" x14ac:dyDescent="0.3"/>
    <row r="261" s="17" customFormat="1" x14ac:dyDescent="0.3"/>
    <row r="262" s="17" customFormat="1" x14ac:dyDescent="0.3"/>
    <row r="263" s="17" customFormat="1" x14ac:dyDescent="0.3"/>
    <row r="264" s="17" customFormat="1" x14ac:dyDescent="0.3"/>
    <row r="265" s="17" customFormat="1" x14ac:dyDescent="0.3"/>
    <row r="266" s="17" customFormat="1" x14ac:dyDescent="0.3"/>
    <row r="267" s="17" customFormat="1" x14ac:dyDescent="0.3"/>
    <row r="268" s="17" customFormat="1" x14ac:dyDescent="0.3"/>
    <row r="269" s="17" customFormat="1" x14ac:dyDescent="0.3"/>
    <row r="270" s="17" customFormat="1" x14ac:dyDescent="0.3"/>
    <row r="271" s="17" customFormat="1" x14ac:dyDescent="0.3"/>
    <row r="272" s="17" customFormat="1" x14ac:dyDescent="0.3"/>
    <row r="273" s="17" customFormat="1" x14ac:dyDescent="0.3"/>
    <row r="274" s="17" customFormat="1" x14ac:dyDescent="0.3"/>
    <row r="275" s="17" customFormat="1" x14ac:dyDescent="0.3"/>
    <row r="276" s="17" customFormat="1" x14ac:dyDescent="0.3"/>
    <row r="277" s="17" customFormat="1" x14ac:dyDescent="0.3"/>
    <row r="278" s="17" customFormat="1" x14ac:dyDescent="0.3"/>
    <row r="279" s="17" customFormat="1" x14ac:dyDescent="0.3"/>
    <row r="280" s="17" customFormat="1" x14ac:dyDescent="0.3"/>
    <row r="281" s="17" customFormat="1" x14ac:dyDescent="0.3"/>
    <row r="282" s="17" customFormat="1" x14ac:dyDescent="0.3"/>
    <row r="283" s="17" customFormat="1" x14ac:dyDescent="0.3"/>
    <row r="284" s="17" customFormat="1" x14ac:dyDescent="0.3"/>
    <row r="285" s="17" customFormat="1" x14ac:dyDescent="0.3"/>
    <row r="286" s="17" customFormat="1" x14ac:dyDescent="0.3"/>
    <row r="287" s="17" customFormat="1" x14ac:dyDescent="0.3"/>
    <row r="288" s="17" customFormat="1" x14ac:dyDescent="0.3"/>
    <row r="289" s="17" customFormat="1" x14ac:dyDescent="0.3"/>
    <row r="290" s="17" customFormat="1" x14ac:dyDescent="0.3"/>
    <row r="291" s="17" customFormat="1" x14ac:dyDescent="0.3"/>
    <row r="292" s="17" customFormat="1" x14ac:dyDescent="0.3"/>
    <row r="293" s="17" customFormat="1" x14ac:dyDescent="0.3"/>
    <row r="294" s="17" customFormat="1" x14ac:dyDescent="0.3"/>
    <row r="295" s="17" customFormat="1" x14ac:dyDescent="0.3"/>
    <row r="296" s="17" customFormat="1" x14ac:dyDescent="0.3"/>
    <row r="297" s="17" customFormat="1" x14ac:dyDescent="0.3"/>
    <row r="298" s="17" customFormat="1" x14ac:dyDescent="0.3"/>
    <row r="299" s="17" customFormat="1" x14ac:dyDescent="0.3"/>
    <row r="300" s="17" customFormat="1" x14ac:dyDescent="0.3"/>
    <row r="301" s="17" customFormat="1" x14ac:dyDescent="0.3"/>
    <row r="302" s="17" customFormat="1" x14ac:dyDescent="0.3"/>
    <row r="303" s="17" customFormat="1" x14ac:dyDescent="0.3"/>
    <row r="304" s="17" customFormat="1" x14ac:dyDescent="0.3"/>
    <row r="305" s="17" customFormat="1" x14ac:dyDescent="0.3"/>
    <row r="306" s="17" customFormat="1" x14ac:dyDescent="0.3"/>
    <row r="307" s="17" customFormat="1" x14ac:dyDescent="0.3"/>
    <row r="308" s="17" customFormat="1" x14ac:dyDescent="0.3"/>
    <row r="309" s="17" customFormat="1" x14ac:dyDescent="0.3"/>
    <row r="310" s="17" customFormat="1" x14ac:dyDescent="0.3"/>
    <row r="311" s="17" customFormat="1" x14ac:dyDescent="0.3"/>
    <row r="312" s="17" customFormat="1" x14ac:dyDescent="0.3"/>
    <row r="313" s="17" customFormat="1" x14ac:dyDescent="0.3"/>
    <row r="314" s="17" customFormat="1" x14ac:dyDescent="0.3"/>
    <row r="315" s="17" customFormat="1" x14ac:dyDescent="0.3"/>
    <row r="316" s="17" customFormat="1" x14ac:dyDescent="0.3"/>
    <row r="317" s="17" customFormat="1" x14ac:dyDescent="0.3"/>
    <row r="318" s="17" customFormat="1" x14ac:dyDescent="0.3"/>
    <row r="319" s="17" customFormat="1" x14ac:dyDescent="0.3"/>
    <row r="320" s="17" customFormat="1" x14ac:dyDescent="0.3"/>
    <row r="321" s="17" customFormat="1" x14ac:dyDescent="0.3"/>
    <row r="322" s="17" customFormat="1" x14ac:dyDescent="0.3"/>
    <row r="323" s="17" customFormat="1" x14ac:dyDescent="0.3"/>
    <row r="324" s="17" customFormat="1" x14ac:dyDescent="0.3"/>
    <row r="325" s="17" customFormat="1" x14ac:dyDescent="0.3"/>
    <row r="326" s="17" customFormat="1" x14ac:dyDescent="0.3"/>
    <row r="327" s="17" customFormat="1" x14ac:dyDescent="0.3"/>
    <row r="328" s="17" customFormat="1" x14ac:dyDescent="0.3"/>
    <row r="329" s="17" customFormat="1" x14ac:dyDescent="0.3"/>
    <row r="330" s="17" customFormat="1" x14ac:dyDescent="0.3"/>
    <row r="331" s="17" customFormat="1" x14ac:dyDescent="0.3"/>
    <row r="332" s="17" customFormat="1" x14ac:dyDescent="0.3"/>
    <row r="333" s="17" customFormat="1" x14ac:dyDescent="0.3"/>
    <row r="334" s="17" customFormat="1" x14ac:dyDescent="0.3"/>
    <row r="335" s="17" customFormat="1" x14ac:dyDescent="0.3"/>
    <row r="336" s="17" customFormat="1" x14ac:dyDescent="0.3"/>
    <row r="337" s="17" customFormat="1" x14ac:dyDescent="0.3"/>
    <row r="338" s="17" customFormat="1" x14ac:dyDescent="0.3"/>
    <row r="339" s="17" customFormat="1" x14ac:dyDescent="0.3"/>
    <row r="340" s="17" customFormat="1" x14ac:dyDescent="0.3"/>
    <row r="341" s="17" customFormat="1" x14ac:dyDescent="0.3"/>
    <row r="342" s="17" customFormat="1" x14ac:dyDescent="0.3"/>
    <row r="343" s="17" customFormat="1" x14ac:dyDescent="0.3"/>
    <row r="344" s="17" customFormat="1" x14ac:dyDescent="0.3"/>
    <row r="345" s="17" customFormat="1" x14ac:dyDescent="0.3"/>
    <row r="346" s="17" customFormat="1" x14ac:dyDescent="0.3"/>
    <row r="347" s="17" customFormat="1" x14ac:dyDescent="0.3"/>
    <row r="348" s="17" customFormat="1" x14ac:dyDescent="0.3"/>
    <row r="349" s="17" customFormat="1" x14ac:dyDescent="0.3"/>
    <row r="350" s="17" customFormat="1" x14ac:dyDescent="0.3"/>
    <row r="351" s="17" customFormat="1" x14ac:dyDescent="0.3"/>
    <row r="352" s="17" customFormat="1" x14ac:dyDescent="0.3"/>
    <row r="353" s="17" customFormat="1" x14ac:dyDescent="0.3"/>
    <row r="354" s="17" customFormat="1" x14ac:dyDescent="0.3"/>
    <row r="355" s="17" customFormat="1" x14ac:dyDescent="0.3"/>
    <row r="356" s="17" customFormat="1" x14ac:dyDescent="0.3"/>
    <row r="357" s="17" customFormat="1" x14ac:dyDescent="0.3"/>
    <row r="358" s="17" customFormat="1" x14ac:dyDescent="0.3"/>
    <row r="359" s="17" customFormat="1" x14ac:dyDescent="0.3"/>
    <row r="360" s="17" customFormat="1" x14ac:dyDescent="0.3"/>
    <row r="361" s="17" customFormat="1" x14ac:dyDescent="0.3"/>
    <row r="362" s="17" customFormat="1" x14ac:dyDescent="0.3"/>
    <row r="363" s="17" customFormat="1" x14ac:dyDescent="0.3"/>
    <row r="364" s="17" customFormat="1" x14ac:dyDescent="0.3"/>
    <row r="365" s="17" customFormat="1" x14ac:dyDescent="0.3"/>
    <row r="366" s="17" customFormat="1" x14ac:dyDescent="0.3"/>
    <row r="367" s="17" customFormat="1" x14ac:dyDescent="0.3"/>
    <row r="368" s="17" customFormat="1" x14ac:dyDescent="0.3"/>
    <row r="369" s="17" customFormat="1" x14ac:dyDescent="0.3"/>
    <row r="370" s="17" customFormat="1" x14ac:dyDescent="0.3"/>
    <row r="371" s="17" customFormat="1" x14ac:dyDescent="0.3"/>
    <row r="372" s="17" customFormat="1" x14ac:dyDescent="0.3"/>
    <row r="373" s="17" customFormat="1" x14ac:dyDescent="0.3"/>
    <row r="374" s="17" customFormat="1" x14ac:dyDescent="0.3"/>
    <row r="375" s="17" customFormat="1" x14ac:dyDescent="0.3"/>
    <row r="376" s="17" customFormat="1" x14ac:dyDescent="0.3"/>
    <row r="377" s="17" customFormat="1" x14ac:dyDescent="0.3"/>
    <row r="378" s="17" customFormat="1" x14ac:dyDescent="0.3"/>
    <row r="379" s="17" customFormat="1" x14ac:dyDescent="0.3"/>
    <row r="380" s="17" customFormat="1" x14ac:dyDescent="0.3"/>
    <row r="381" s="17" customFormat="1" x14ac:dyDescent="0.3"/>
    <row r="382" s="17" customFormat="1" x14ac:dyDescent="0.3"/>
    <row r="383" s="17" customFormat="1" x14ac:dyDescent="0.3"/>
    <row r="384" s="17" customFormat="1" x14ac:dyDescent="0.3"/>
    <row r="385" s="17" customFormat="1" x14ac:dyDescent="0.3"/>
    <row r="386" s="17" customFormat="1" x14ac:dyDescent="0.3"/>
    <row r="387" s="17" customFormat="1" x14ac:dyDescent="0.3"/>
    <row r="388" s="17" customFormat="1" x14ac:dyDescent="0.3"/>
    <row r="389" s="17" customFormat="1" x14ac:dyDescent="0.3"/>
    <row r="390" s="17" customFormat="1" x14ac:dyDescent="0.3"/>
    <row r="391" s="17" customFormat="1" x14ac:dyDescent="0.3"/>
    <row r="392" s="17" customFormat="1" x14ac:dyDescent="0.3"/>
    <row r="393" s="17" customFormat="1" x14ac:dyDescent="0.3"/>
    <row r="394" s="17" customFormat="1" x14ac:dyDescent="0.3"/>
    <row r="395" s="17" customFormat="1" x14ac:dyDescent="0.3"/>
    <row r="396" s="17" customFormat="1" x14ac:dyDescent="0.3"/>
    <row r="397" s="17" customFormat="1" x14ac:dyDescent="0.3"/>
    <row r="398" s="17" customFormat="1" x14ac:dyDescent="0.3"/>
    <row r="399" s="17" customFormat="1" x14ac:dyDescent="0.3"/>
    <row r="400" s="17" customFormat="1" x14ac:dyDescent="0.3"/>
    <row r="401" s="17" customFormat="1" x14ac:dyDescent="0.3"/>
    <row r="402" s="17" customFormat="1" x14ac:dyDescent="0.3"/>
    <row r="403" s="17" customFormat="1" x14ac:dyDescent="0.3"/>
    <row r="404" s="17" customFormat="1" x14ac:dyDescent="0.3"/>
    <row r="405" s="17" customFormat="1" x14ac:dyDescent="0.3"/>
    <row r="406" s="17" customFormat="1" x14ac:dyDescent="0.3"/>
    <row r="407" s="17" customFormat="1" x14ac:dyDescent="0.3"/>
    <row r="408" s="17" customFormat="1" x14ac:dyDescent="0.3"/>
    <row r="409" s="17" customFormat="1" x14ac:dyDescent="0.3"/>
    <row r="410" s="17" customFormat="1" x14ac:dyDescent="0.3"/>
    <row r="411" s="17" customFormat="1" x14ac:dyDescent="0.3"/>
    <row r="412" s="17" customFormat="1" x14ac:dyDescent="0.3"/>
    <row r="413" s="17" customFormat="1" x14ac:dyDescent="0.3"/>
    <row r="414" s="17" customFormat="1" x14ac:dyDescent="0.3"/>
    <row r="415" s="17" customFormat="1" x14ac:dyDescent="0.3"/>
    <row r="416" s="17" customFormat="1" x14ac:dyDescent="0.3"/>
    <row r="417" s="17" customFormat="1" x14ac:dyDescent="0.3"/>
    <row r="418" s="17" customFormat="1" x14ac:dyDescent="0.3"/>
    <row r="419" s="17" customFormat="1" x14ac:dyDescent="0.3"/>
    <row r="420" s="17" customFormat="1" x14ac:dyDescent="0.3"/>
    <row r="421" s="17" customFormat="1" x14ac:dyDescent="0.3"/>
    <row r="422" s="17" customFormat="1" x14ac:dyDescent="0.3"/>
    <row r="423" s="17" customFormat="1" x14ac:dyDescent="0.3"/>
    <row r="424" s="17" customFormat="1" x14ac:dyDescent="0.3"/>
    <row r="425" s="17" customFormat="1" x14ac:dyDescent="0.3"/>
    <row r="426" s="17" customFormat="1" x14ac:dyDescent="0.3"/>
    <row r="427" s="17" customFormat="1" x14ac:dyDescent="0.3"/>
    <row r="428" s="17" customFormat="1" x14ac:dyDescent="0.3"/>
    <row r="429" s="17" customFormat="1" x14ac:dyDescent="0.3"/>
    <row r="430" s="17" customFormat="1" x14ac:dyDescent="0.3"/>
    <row r="431" s="17" customFormat="1" x14ac:dyDescent="0.3"/>
    <row r="432" s="17" customFormat="1" x14ac:dyDescent="0.3"/>
    <row r="433" s="17" customFormat="1" x14ac:dyDescent="0.3"/>
    <row r="434" s="17" customFormat="1" x14ac:dyDescent="0.3"/>
    <row r="435" s="17" customFormat="1" x14ac:dyDescent="0.3"/>
    <row r="436" s="17" customFormat="1" x14ac:dyDescent="0.3"/>
    <row r="437" s="17" customFormat="1" x14ac:dyDescent="0.3"/>
    <row r="438" s="17" customFormat="1" x14ac:dyDescent="0.3"/>
    <row r="439" s="17" customFormat="1" x14ac:dyDescent="0.3"/>
    <row r="440" s="17" customFormat="1" x14ac:dyDescent="0.3"/>
    <row r="441" s="17" customFormat="1" x14ac:dyDescent="0.3"/>
    <row r="442" s="17" customFormat="1" x14ac:dyDescent="0.3"/>
    <row r="443" s="17" customFormat="1" x14ac:dyDescent="0.3"/>
    <row r="444" s="17" customFormat="1" x14ac:dyDescent="0.3"/>
    <row r="445" s="17" customFormat="1" x14ac:dyDescent="0.3"/>
    <row r="446" s="17" customFormat="1" x14ac:dyDescent="0.3"/>
    <row r="447" s="17" customFormat="1" x14ac:dyDescent="0.3"/>
    <row r="448" s="17" customFormat="1" x14ac:dyDescent="0.3"/>
    <row r="449" s="17" customFormat="1" x14ac:dyDescent="0.3"/>
    <row r="450" s="17" customFormat="1" x14ac:dyDescent="0.3"/>
    <row r="451" s="17" customFormat="1" x14ac:dyDescent="0.3"/>
    <row r="452" s="17" customFormat="1" x14ac:dyDescent="0.3"/>
    <row r="453" s="17" customFormat="1" x14ac:dyDescent="0.3"/>
    <row r="454" s="17" customFormat="1" x14ac:dyDescent="0.3"/>
    <row r="455" s="17" customFormat="1" x14ac:dyDescent="0.3"/>
    <row r="456" s="17" customFormat="1" x14ac:dyDescent="0.3"/>
    <row r="457" s="17" customFormat="1" x14ac:dyDescent="0.3"/>
    <row r="458" s="17" customFormat="1" x14ac:dyDescent="0.3"/>
    <row r="459" s="17" customFormat="1" x14ac:dyDescent="0.3"/>
    <row r="460" s="17" customFormat="1" x14ac:dyDescent="0.3"/>
    <row r="461" s="17" customFormat="1" x14ac:dyDescent="0.3"/>
    <row r="462" s="17" customFormat="1" x14ac:dyDescent="0.3"/>
    <row r="463" s="17" customFormat="1" x14ac:dyDescent="0.3"/>
    <row r="464" s="17" customFormat="1" x14ac:dyDescent="0.3"/>
    <row r="465" spans="20:31" s="17" customFormat="1" x14ac:dyDescent="0.3"/>
    <row r="466" spans="20:31" s="17" customFormat="1" x14ac:dyDescent="0.3"/>
    <row r="467" spans="20:31" s="17" customFormat="1" x14ac:dyDescent="0.3"/>
    <row r="468" spans="20:31" s="17" customFormat="1" x14ac:dyDescent="0.3"/>
    <row r="469" spans="20:31" s="17" customFormat="1" x14ac:dyDescent="0.3"/>
    <row r="470" spans="20:31" s="17" customFormat="1" x14ac:dyDescent="0.3"/>
    <row r="471" spans="20:31" s="17" customFormat="1" x14ac:dyDescent="0.3"/>
    <row r="472" spans="20:31" s="17" customFormat="1" x14ac:dyDescent="0.3"/>
    <row r="473" spans="20:31" s="17" customFormat="1" x14ac:dyDescent="0.3"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spans="20:31" s="17" customFormat="1" x14ac:dyDescent="0.3"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spans="20:31" s="17" customFormat="1" x14ac:dyDescent="0.3"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spans="20:31" s="17" customFormat="1" x14ac:dyDescent="0.3"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spans="20:31" s="17" customFormat="1" x14ac:dyDescent="0.3"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spans="20:31" s="17" customFormat="1" x14ac:dyDescent="0.3"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spans="20:31" s="17" customFormat="1" x14ac:dyDescent="0.3"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spans="20:31" s="17" customFormat="1" x14ac:dyDescent="0.3"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spans="20:49" s="17" customFormat="1" x14ac:dyDescent="0.3"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spans="20:49" s="17" customFormat="1" x14ac:dyDescent="0.3"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spans="20:49" s="17" customFormat="1" x14ac:dyDescent="0.3"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spans="20:49" s="17" customFormat="1" x14ac:dyDescent="0.3"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spans="20:49" s="17" customFormat="1" x14ac:dyDescent="0.3"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spans="20:49" s="17" customFormat="1" x14ac:dyDescent="0.3"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spans="20:49" s="17" customFormat="1" x14ac:dyDescent="0.3"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spans="20:49" s="17" customFormat="1" x14ac:dyDescent="0.3"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spans="20:49" s="17" customFormat="1" x14ac:dyDescent="0.3"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spans="20:49" s="17" customFormat="1" x14ac:dyDescent="0.3"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spans="20:49" s="17" customFormat="1" x14ac:dyDescent="0.3"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spans="20:49" s="17" customFormat="1" x14ac:dyDescent="0.3"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20:49" s="17" customFormat="1" x14ac:dyDescent="0.3"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20:49" s="17" customFormat="1" x14ac:dyDescent="0.3"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20:49" s="17" customFormat="1" x14ac:dyDescent="0.3"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20:49" s="17" customFormat="1" x14ac:dyDescent="0.3"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20:49" s="17" customFormat="1" x14ac:dyDescent="0.3"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20:49" s="17" customFormat="1" x14ac:dyDescent="0.3"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20:49" s="17" customFormat="1" x14ac:dyDescent="0.3"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  <row r="500" spans="20:49" s="17" customFormat="1" x14ac:dyDescent="0.3"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</row>
    <row r="501" spans="20:49" s="17" customFormat="1" x14ac:dyDescent="0.3"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</row>
    <row r="502" spans="20:49" s="17" customFormat="1" x14ac:dyDescent="0.3"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</row>
    <row r="503" spans="20:49" s="17" customFormat="1" x14ac:dyDescent="0.3"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</row>
    <row r="504" spans="20:49" s="17" customFormat="1" x14ac:dyDescent="0.3"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</row>
    <row r="505" spans="20:49" s="17" customFormat="1" x14ac:dyDescent="0.3"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</row>
    <row r="506" spans="20:49" s="17" customFormat="1" x14ac:dyDescent="0.3"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</row>
    <row r="507" spans="20:49" s="17" customFormat="1" x14ac:dyDescent="0.3"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</row>
    <row r="508" spans="20:49" s="17" customFormat="1" x14ac:dyDescent="0.3"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</row>
    <row r="509" spans="20:49" s="17" customFormat="1" x14ac:dyDescent="0.3"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</row>
    <row r="510" spans="20:49" s="17" customFormat="1" x14ac:dyDescent="0.3"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</row>
    <row r="511" spans="20:49" s="17" customFormat="1" x14ac:dyDescent="0.3"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</row>
    <row r="512" spans="20:49" s="17" customFormat="1" x14ac:dyDescent="0.3"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</row>
  </sheetData>
  <sheetProtection sheet="1" objects="1" scenarios="1"/>
  <mergeCells count="16">
    <mergeCell ref="AM119:AW119"/>
    <mergeCell ref="AF6:AL6"/>
    <mergeCell ref="AM6:AW6"/>
    <mergeCell ref="C2:D2"/>
    <mergeCell ref="C3:D3"/>
    <mergeCell ref="C4:D4"/>
    <mergeCell ref="C5:D5"/>
    <mergeCell ref="N7:T7"/>
    <mergeCell ref="U7:Y7"/>
    <mergeCell ref="Z7:AE7"/>
    <mergeCell ref="AM7:AW7"/>
    <mergeCell ref="AX6:AZ6"/>
    <mergeCell ref="F6:I6"/>
    <mergeCell ref="J6:M6"/>
    <mergeCell ref="N6:AE6"/>
    <mergeCell ref="C1:D1"/>
  </mergeCells>
  <phoneticPr fontId="10" type="noConversion"/>
  <printOptions horizontalCentered="1" verticalCentered="1"/>
  <pageMargins left="0" right="0" top="0" bottom="0" header="0" footer="0"/>
  <pageSetup paperSize="9" scale="97" orientation="portrait" r:id="rId1"/>
  <colBreaks count="6" manualBreakCount="6">
    <brk id="5" max="113" man="1"/>
    <brk id="13" max="113" man="1"/>
    <brk id="24" max="113" man="1"/>
    <brk id="31" max="113" man="1"/>
    <brk id="38" max="113" man="1"/>
    <brk id="49" max="11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 Att</vt:lpstr>
      <vt:lpstr>Sheet1</vt:lpstr>
      <vt:lpstr>'CO Att'!Print_Area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2025-07-21T03:48:49Z</dcterms:modified>
  <cp:category/>
  <cp:contentStatus/>
</cp:coreProperties>
</file>