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\Desktop\"/>
    </mc:Choice>
  </mc:AlternateContent>
  <xr:revisionPtr revIDLastSave="0" documentId="8_{1788EBAF-6947-4873-8F63-4F321A1F1580}" xr6:coauthVersionLast="47" xr6:coauthVersionMax="47" xr10:uidLastSave="{00000000-0000-0000-0000-000000000000}"/>
  <bookViews>
    <workbookView xWindow="-108" yWindow="-108" windowWidth="23256" windowHeight="12456" xr2:uid="{D0AB2FB7-336C-48A5-A637-35514BBF7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25" i="1" l="1" a="1"/>
  <c r="AW25" i="1" s="1"/>
  <c r="AL25" i="1" a="1"/>
  <c r="AL25" i="1" s="1"/>
  <c r="AE25" i="1"/>
  <c r="AD25" i="1"/>
  <c r="AC25" i="1"/>
  <c r="AB25" i="1"/>
  <c r="AA25" i="1"/>
  <c r="Z25" i="1"/>
  <c r="Y25" i="1" a="1"/>
  <c r="Y25" i="1" s="1"/>
  <c r="M25" i="1" a="1"/>
  <c r="M25" i="1" s="1"/>
  <c r="I25" i="1" a="1"/>
  <c r="I25" i="1" s="1"/>
  <c r="AW24" i="1" a="1"/>
  <c r="AW24" i="1" s="1"/>
  <c r="AL24" i="1" a="1"/>
  <c r="AL24" i="1" s="1"/>
  <c r="AE24" i="1"/>
  <c r="AD24" i="1"/>
  <c r="AC24" i="1"/>
  <c r="AB24" i="1"/>
  <c r="AA24" i="1"/>
  <c r="Z24" i="1"/>
  <c r="Y24" i="1" a="1"/>
  <c r="Y24" i="1" s="1"/>
  <c r="M24" i="1" a="1"/>
  <c r="M24" i="1" s="1"/>
  <c r="I24" i="1" a="1"/>
  <c r="I24" i="1" s="1"/>
  <c r="AW23" i="1" a="1"/>
  <c r="AW23" i="1" s="1"/>
  <c r="AL23" i="1" a="1"/>
  <c r="AL23" i="1" s="1"/>
  <c r="AE23" i="1"/>
  <c r="AD23" i="1"/>
  <c r="AC23" i="1"/>
  <c r="AB23" i="1"/>
  <c r="AA23" i="1"/>
  <c r="Z23" i="1"/>
  <c r="Y23" i="1" a="1"/>
  <c r="Y23" i="1" s="1"/>
  <c r="M23" i="1" a="1"/>
  <c r="M23" i="1" s="1"/>
  <c r="I23" i="1" a="1"/>
  <c r="I23" i="1" s="1"/>
  <c r="AW22" i="1" a="1"/>
  <c r="AW22" i="1" s="1"/>
  <c r="AL22" i="1" a="1"/>
  <c r="AL22" i="1" s="1"/>
  <c r="AE22" i="1"/>
  <c r="AD22" i="1"/>
  <c r="AC22" i="1"/>
  <c r="AB22" i="1"/>
  <c r="AA22" i="1"/>
  <c r="Z22" i="1"/>
  <c r="Y22" i="1" a="1"/>
  <c r="Y22" i="1" s="1"/>
  <c r="M22" i="1" a="1"/>
  <c r="M22" i="1" s="1"/>
  <c r="I22" i="1" a="1"/>
  <c r="I22" i="1" s="1"/>
  <c r="AW21" i="1" a="1"/>
  <c r="AW21" i="1" s="1"/>
  <c r="AL21" i="1" a="1"/>
  <c r="AL21" i="1" s="1"/>
  <c r="AE21" i="1"/>
  <c r="AD21" i="1"/>
  <c r="AC21" i="1"/>
  <c r="AB21" i="1"/>
  <c r="AA21" i="1"/>
  <c r="Z21" i="1"/>
  <c r="Y21" i="1" a="1"/>
  <c r="Y21" i="1" s="1"/>
  <c r="M21" i="1" a="1"/>
  <c r="M21" i="1" s="1"/>
  <c r="I21" i="1" a="1"/>
  <c r="I21" i="1" s="1"/>
  <c r="AW20" i="1" a="1"/>
  <c r="AW20" i="1" s="1"/>
  <c r="AL20" i="1" a="1"/>
  <c r="AL20" i="1" s="1"/>
  <c r="AE20" i="1"/>
  <c r="AD20" i="1"/>
  <c r="AC20" i="1"/>
  <c r="AB20" i="1"/>
  <c r="AA20" i="1"/>
  <c r="Z20" i="1"/>
  <c r="Y20" i="1" a="1"/>
  <c r="Y20" i="1" s="1"/>
  <c r="M20" i="1" a="1"/>
  <c r="M20" i="1" s="1"/>
  <c r="I20" i="1" a="1"/>
  <c r="I20" i="1" s="1"/>
  <c r="AW19" i="1" a="1"/>
  <c r="AW19" i="1" s="1"/>
  <c r="AL19" i="1" a="1"/>
  <c r="AL19" i="1" s="1"/>
  <c r="AE19" i="1"/>
  <c r="AD19" i="1"/>
  <c r="AC19" i="1"/>
  <c r="AB19" i="1"/>
  <c r="AA19" i="1"/>
  <c r="Z19" i="1"/>
  <c r="Y19" i="1" a="1"/>
  <c r="Y19" i="1" s="1"/>
  <c r="M19" i="1" a="1"/>
  <c r="M19" i="1" s="1"/>
  <c r="I19" i="1" a="1"/>
  <c r="I19" i="1" s="1"/>
  <c r="AW18" i="1" a="1"/>
  <c r="AW18" i="1" s="1"/>
  <c r="AL18" i="1" a="1"/>
  <c r="AL18" i="1" s="1"/>
  <c r="AE18" i="1"/>
  <c r="AD18" i="1"/>
  <c r="AC18" i="1"/>
  <c r="AB18" i="1"/>
  <c r="AA18" i="1"/>
  <c r="Z18" i="1"/>
  <c r="Y18" i="1" a="1"/>
  <c r="Y18" i="1" s="1"/>
  <c r="M18" i="1" a="1"/>
  <c r="M18" i="1" s="1"/>
  <c r="I18" i="1" a="1"/>
  <c r="I18" i="1" s="1"/>
  <c r="AW17" i="1" a="1"/>
  <c r="AW17" i="1" s="1"/>
  <c r="AL17" i="1" a="1"/>
  <c r="AL17" i="1" s="1"/>
  <c r="AE17" i="1"/>
  <c r="AD17" i="1"/>
  <c r="AC17" i="1"/>
  <c r="AB17" i="1"/>
  <c r="AA17" i="1"/>
  <c r="Z17" i="1"/>
  <c r="Y17" i="1" a="1"/>
  <c r="Y17" i="1" s="1"/>
  <c r="M17" i="1" a="1"/>
  <c r="M17" i="1" s="1"/>
  <c r="I17" i="1" a="1"/>
  <c r="I17" i="1" s="1"/>
  <c r="AW16" i="1" a="1"/>
  <c r="AW16" i="1" s="1"/>
  <c r="AL16" i="1" a="1"/>
  <c r="AL16" i="1" s="1"/>
  <c r="AE16" i="1"/>
  <c r="AD16" i="1"/>
  <c r="AC16" i="1"/>
  <c r="AB16" i="1"/>
  <c r="AA16" i="1"/>
  <c r="Z16" i="1"/>
  <c r="Y16" i="1" a="1"/>
  <c r="Y16" i="1" s="1"/>
  <c r="M16" i="1" a="1"/>
  <c r="M16" i="1" s="1"/>
  <c r="I16" i="1" a="1"/>
  <c r="I16" i="1" s="1"/>
  <c r="AW15" i="1" a="1"/>
  <c r="AW15" i="1" s="1"/>
  <c r="AL15" i="1" a="1"/>
  <c r="AL15" i="1" s="1"/>
  <c r="AE15" i="1"/>
  <c r="AD15" i="1"/>
  <c r="AC15" i="1"/>
  <c r="AB15" i="1"/>
  <c r="AA15" i="1"/>
  <c r="Z15" i="1"/>
  <c r="Y15" i="1" a="1"/>
  <c r="Y15" i="1" s="1"/>
  <c r="M15" i="1" a="1"/>
  <c r="M15" i="1" s="1"/>
  <c r="I15" i="1" a="1"/>
  <c r="I15" i="1" s="1"/>
  <c r="AW14" i="1" a="1"/>
  <c r="AW14" i="1" s="1"/>
  <c r="AL14" i="1" a="1"/>
  <c r="AL14" i="1" s="1"/>
  <c r="AE14" i="1"/>
  <c r="AD14" i="1"/>
  <c r="AC14" i="1"/>
  <c r="AB14" i="1"/>
  <c r="AA14" i="1"/>
  <c r="Z14" i="1"/>
  <c r="Y14" i="1" a="1"/>
  <c r="Y14" i="1" s="1"/>
  <c r="M14" i="1" a="1"/>
  <c r="M14" i="1" s="1"/>
  <c r="I14" i="1" a="1"/>
  <c r="I14" i="1" s="1"/>
  <c r="AW13" i="1" a="1"/>
  <c r="AW13" i="1" s="1"/>
  <c r="AL13" i="1" a="1"/>
  <c r="AL13" i="1" s="1"/>
  <c r="AE13" i="1"/>
  <c r="AD13" i="1"/>
  <c r="AC13" i="1"/>
  <c r="AB13" i="1"/>
  <c r="AA13" i="1"/>
  <c r="Z13" i="1"/>
  <c r="Y13" i="1" a="1"/>
  <c r="Y13" i="1" s="1"/>
  <c r="M13" i="1" a="1"/>
  <c r="M13" i="1" s="1"/>
  <c r="I13" i="1" a="1"/>
  <c r="I13" i="1" s="1"/>
  <c r="AW12" i="1" a="1"/>
  <c r="AW12" i="1" s="1"/>
  <c r="AL12" i="1" a="1"/>
  <c r="AL12" i="1" s="1"/>
  <c r="AE12" i="1"/>
  <c r="AD12" i="1"/>
  <c r="AC12" i="1"/>
  <c r="AB12" i="1"/>
  <c r="AA12" i="1"/>
  <c r="Z12" i="1"/>
  <c r="Y12" i="1" a="1"/>
  <c r="Y12" i="1" s="1"/>
  <c r="M12" i="1" a="1"/>
  <c r="M12" i="1" s="1"/>
  <c r="I12" i="1" a="1"/>
  <c r="I12" i="1" s="1"/>
  <c r="AW11" i="1" a="1"/>
  <c r="AW11" i="1" s="1"/>
  <c r="AL11" i="1" a="1"/>
  <c r="AL11" i="1" s="1"/>
  <c r="AE11" i="1"/>
  <c r="AD11" i="1"/>
  <c r="AC11" i="1"/>
  <c r="AB11" i="1"/>
  <c r="AA11" i="1"/>
  <c r="Z11" i="1"/>
  <c r="Y11" i="1" a="1"/>
  <c r="Y11" i="1" s="1"/>
  <c r="M11" i="1" a="1"/>
  <c r="M11" i="1" s="1"/>
  <c r="I11" i="1" a="1"/>
  <c r="I11" i="1" s="1"/>
  <c r="AW10" i="1" a="1"/>
  <c r="AW10" i="1" s="1"/>
  <c r="AL10" i="1" a="1"/>
  <c r="AL10" i="1" s="1"/>
  <c r="AE10" i="1"/>
  <c r="AD10" i="1"/>
  <c r="AC10" i="1"/>
  <c r="AB10" i="1"/>
  <c r="AA10" i="1"/>
  <c r="Z10" i="1"/>
  <c r="Y10" i="1" a="1"/>
  <c r="Y10" i="1" s="1"/>
  <c r="M10" i="1" a="1"/>
  <c r="M10" i="1" s="1"/>
  <c r="I10" i="1" a="1"/>
  <c r="I10" i="1" s="1"/>
  <c r="AW9" i="1" a="1"/>
  <c r="AW9" i="1" s="1"/>
  <c r="AL9" i="1" a="1"/>
  <c r="AL9" i="1" s="1"/>
  <c r="AE9" i="1"/>
  <c r="AD9" i="1"/>
  <c r="AC9" i="1"/>
  <c r="AB9" i="1"/>
  <c r="AA9" i="1"/>
  <c r="Z9" i="1"/>
  <c r="Y9" i="1" a="1"/>
  <c r="Y9" i="1" s="1"/>
  <c r="M9" i="1" a="1"/>
  <c r="M9" i="1" s="1"/>
  <c r="I9" i="1" a="1"/>
  <c r="I9" i="1" s="1"/>
  <c r="AW8" i="1" a="1"/>
  <c r="AW8" i="1" s="1"/>
  <c r="AL8" i="1" a="1"/>
  <c r="AL8" i="1" s="1"/>
  <c r="AE8" i="1"/>
  <c r="AD8" i="1"/>
  <c r="AC8" i="1"/>
  <c r="AB8" i="1"/>
  <c r="AA8" i="1"/>
  <c r="Z8" i="1"/>
  <c r="Y8" i="1" a="1"/>
  <c r="Y8" i="1" s="1"/>
  <c r="M8" i="1" a="1"/>
  <c r="M8" i="1" s="1"/>
  <c r="I8" i="1" a="1"/>
  <c r="I8" i="1" s="1"/>
  <c r="AW7" i="1" a="1"/>
  <c r="AW7" i="1" s="1"/>
  <c r="AL7" i="1" a="1"/>
  <c r="AL7" i="1" s="1"/>
  <c r="AD7" i="1"/>
  <c r="Y7" i="1" a="1"/>
  <c r="Y7" i="1" s="1"/>
  <c r="M7" i="1" a="1"/>
  <c r="M7" i="1" s="1"/>
  <c r="I7" i="1" a="1"/>
  <c r="I7" i="1" s="1"/>
  <c r="AW6" i="1" a="1"/>
  <c r="AW6" i="1" s="1"/>
  <c r="AL6" i="1" a="1"/>
  <c r="AL6" i="1" s="1"/>
  <c r="AC6" i="1"/>
  <c r="Y6" i="1" a="1"/>
  <c r="Y6" i="1" s="1"/>
  <c r="M6" i="1" a="1"/>
  <c r="M6" i="1" s="1"/>
  <c r="I6" i="1" a="1"/>
  <c r="I6" i="1" s="1"/>
  <c r="AW5" i="1" a="1"/>
  <c r="AW5" i="1" s="1"/>
  <c r="AL5" i="1" a="1"/>
  <c r="AL5" i="1" s="1"/>
  <c r="AB5" i="1"/>
  <c r="Y5" i="1" a="1"/>
  <c r="Y5" i="1" s="1"/>
  <c r="M5" i="1" a="1"/>
  <c r="M5" i="1" s="1"/>
  <c r="I5" i="1" a="1"/>
  <c r="I5" i="1" s="1"/>
  <c r="AL4" i="1"/>
  <c r="Y4" i="1"/>
  <c r="M4" i="1"/>
  <c r="I4" i="1"/>
  <c r="AA6" i="1" l="1"/>
  <c r="Z6" i="1"/>
  <c r="AE6" i="1"/>
  <c r="AD6" i="1"/>
  <c r="AB6" i="1"/>
  <c r="AA5" i="1"/>
  <c r="Z5" i="1"/>
  <c r="AE5" i="1"/>
  <c r="AD5" i="1"/>
  <c r="AC5" i="1"/>
  <c r="AA7" i="1"/>
  <c r="AE7" i="1"/>
  <c r="AC7" i="1"/>
  <c r="AB7" i="1"/>
  <c r="Z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<sst xmlns="http://schemas.openxmlformats.org/spreadsheetml/2006/main" count="127" uniqueCount="90">
  <si>
    <t>Unit Test 1</t>
  </si>
  <si>
    <t>Unit Test 2</t>
  </si>
  <si>
    <t>Project Based Learning (PBL)</t>
  </si>
  <si>
    <t>Semester End Exam (SEE)</t>
  </si>
  <si>
    <t>Term Work (TW)</t>
  </si>
  <si>
    <t>Oral/ Practical (OR/PR)</t>
  </si>
  <si>
    <t>CO-1</t>
  </si>
  <si>
    <t>CO-2</t>
  </si>
  <si>
    <t>CO-3</t>
  </si>
  <si>
    <t>CO-4</t>
  </si>
  <si>
    <t>CO-5</t>
  </si>
  <si>
    <t>CO-6</t>
  </si>
  <si>
    <t>PBL Mapping</t>
  </si>
  <si>
    <t>PBL Marks</t>
  </si>
  <si>
    <t>PBL Attainment</t>
  </si>
  <si>
    <t>Marks</t>
  </si>
  <si>
    <t>S.No</t>
  </si>
  <si>
    <t>Roll No.</t>
  </si>
  <si>
    <t>PRN</t>
  </si>
  <si>
    <t>Exam No</t>
  </si>
  <si>
    <t>Name of Student</t>
  </si>
  <si>
    <t>Q.1</t>
  </si>
  <si>
    <t>Q.2</t>
  </si>
  <si>
    <t>Q.3</t>
  </si>
  <si>
    <t>Total</t>
  </si>
  <si>
    <t>Title</t>
  </si>
  <si>
    <t>Concept</t>
  </si>
  <si>
    <t>Skill</t>
  </si>
  <si>
    <t>Team work</t>
  </si>
  <si>
    <t>Individual Performance</t>
  </si>
  <si>
    <t>Q.4</t>
  </si>
  <si>
    <t>Q.5</t>
  </si>
  <si>
    <t>Q.6</t>
  </si>
  <si>
    <t>Expt.1</t>
  </si>
  <si>
    <t>Expt.2</t>
  </si>
  <si>
    <t>Expt.3</t>
  </si>
  <si>
    <t>Expt.4</t>
  </si>
  <si>
    <t>Expt.5</t>
  </si>
  <si>
    <t>Expt.6</t>
  </si>
  <si>
    <t>Expt.7</t>
  </si>
  <si>
    <t>Expt.8</t>
  </si>
  <si>
    <t>Expt.9</t>
  </si>
  <si>
    <t>Expt.10</t>
  </si>
  <si>
    <t>Avg.</t>
  </si>
  <si>
    <t>OR</t>
  </si>
  <si>
    <t>Max Marks</t>
  </si>
  <si>
    <t>1614110074</t>
  </si>
  <si>
    <t xml:space="preserve">KADAM NIKHIL NANDKUMAR                            </t>
  </si>
  <si>
    <t>AB</t>
  </si>
  <si>
    <t>fdgllk oigdj dgsdg</t>
  </si>
  <si>
    <t>1614110078</t>
  </si>
  <si>
    <t xml:space="preserve">SANSKAR CHOURASIA                                 </t>
  </si>
  <si>
    <t>1714110041</t>
  </si>
  <si>
    <t xml:space="preserve">ABHISHEK NIGAM                                    </t>
  </si>
  <si>
    <t>1714110042</t>
  </si>
  <si>
    <t xml:space="preserve">ABHISHEK VERMA                                    </t>
  </si>
  <si>
    <t>1714110043</t>
  </si>
  <si>
    <t xml:space="preserve">ADARSH PATEL                                      </t>
  </si>
  <si>
    <t>1714110045</t>
  </si>
  <si>
    <t xml:space="preserve">ADITYA KUMAR                                      </t>
  </si>
  <si>
    <t>1714110046</t>
  </si>
  <si>
    <t xml:space="preserve">AMAN KUMAR SINGH                                  </t>
  </si>
  <si>
    <t>1714110048</t>
  </si>
  <si>
    <t xml:space="preserve">ANKIT KUMAR AMAR                                  </t>
  </si>
  <si>
    <t>1714110053</t>
  </si>
  <si>
    <t xml:space="preserve">ASHUTOSH PANDEY                                   </t>
  </si>
  <si>
    <t>1714110054</t>
  </si>
  <si>
    <t xml:space="preserve">AVINASH MADDHESHIYA                               </t>
  </si>
  <si>
    <t>1714110055</t>
  </si>
  <si>
    <t xml:space="preserve">AYUSH KUMAR                                       </t>
  </si>
  <si>
    <t>1714110056</t>
  </si>
  <si>
    <t xml:space="preserve">AYUSH PODDAR                                      </t>
  </si>
  <si>
    <t>1714110058</t>
  </si>
  <si>
    <t xml:space="preserve">DEVENDRA SINGH                                    </t>
  </si>
  <si>
    <t>1714110059</t>
  </si>
  <si>
    <t xml:space="preserve">DEVESH UPADHYAY                                   </t>
  </si>
  <si>
    <t>1714110060</t>
  </si>
  <si>
    <t xml:space="preserve">DIVYAM GARG                                       </t>
  </si>
  <si>
    <t>1714110063</t>
  </si>
  <si>
    <t xml:space="preserve">HARJASON SINGH                                    </t>
  </si>
  <si>
    <t>1714110064</t>
  </si>
  <si>
    <t xml:space="preserve">HARSH SEHGAL                                      </t>
  </si>
  <si>
    <t>1714110065</t>
  </si>
  <si>
    <t xml:space="preserve">MANJU KUMARI                                      </t>
  </si>
  <si>
    <t>1714110069</t>
  </si>
  <si>
    <t xml:space="preserve">PATHAK SWATI DANI                                 </t>
  </si>
  <si>
    <t>1714110070</t>
  </si>
  <si>
    <t xml:space="preserve">PATIL HARSHVARDHAN NIVAS                          </t>
  </si>
  <si>
    <t>1714110072</t>
  </si>
  <si>
    <t xml:space="preserve">PIYUSH KUMAR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</si>
</sst>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Times New Roman"/>
      <family val="1"/>
    </font>
    <font>
      <b/>
      <i/>
      <sz val="8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 applyProtection="1">
      <alignment horizontal="center" vertical="center"/>
      <protection locked="0"/>
    </xf>
    <xf numFmtId="0" fontId="5" fillId="9" borderId="6" xfId="0" applyFont="1" applyFill="1" applyBorder="1" applyAlignment="1" applyProtection="1">
      <alignment horizontal="center" vertical="center"/>
      <protection locked="0"/>
    </xf>
    <xf numFmtId="0" fontId="0" fillId="9" borderId="6" xfId="0" applyFill="1" applyBorder="1" applyAlignment="1" applyProtection="1">
      <alignment horizontal="center" vertical="center"/>
      <protection locked="0"/>
    </xf>
    <xf numFmtId="0" fontId="6" fillId="9" borderId="7" xfId="0" applyFont="1" applyFill="1" applyBorder="1" applyAlignment="1" applyProtection="1">
      <alignment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>
      <alignment horizontal="center" vertical="center"/>
    </xf>
    <xf numFmtId="0" fontId="0" fillId="9" borderId="6" xfId="0" applyFill="1" applyBorder="1" applyAlignment="1" applyProtection="1">
      <alignment horizontal="left" vertical="center"/>
      <protection locked="0"/>
    </xf>
    <xf numFmtId="0" fontId="8" fillId="9" borderId="6" xfId="0" applyFont="1" applyFill="1" applyBorder="1" applyAlignment="1" applyProtection="1">
      <alignment horizontal="center" vertical="center"/>
      <protection locked="0"/>
    </xf>
    <xf numFmtId="0" fontId="9" fillId="9" borderId="1" xfId="0" applyFont="1" applyFill="1" applyBorder="1" applyAlignment="1" applyProtection="1">
      <alignment horizontal="center" vertical="center"/>
      <protection locked="0"/>
    </xf>
    <xf numFmtId="0" fontId="9" fillId="9" borderId="4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1" fontId="1" fillId="5" borderId="4" xfId="0" applyNumberFormat="1" applyFont="1" applyFill="1" applyBorder="1" applyAlignment="1">
      <alignment horizontal="center" vertical="center"/>
    </xf>
    <xf numFmtId="0" fontId="9" fillId="9" borderId="6" xfId="0" applyFont="1" applyFill="1" applyBorder="1" applyAlignment="1" applyProtection="1">
      <alignment horizontal="center" vertical="center"/>
      <protection locked="0"/>
    </xf>
    <xf numFmtId="1" fontId="1" fillId="6" borderId="4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9" borderId="8" xfId="0" applyFont="1" applyFill="1" applyBorder="1" applyAlignment="1" applyProtection="1">
      <alignment horizontal="center" vertical="center"/>
      <protection locked="0"/>
    </xf>
    <xf numFmtId="0" fontId="6" fillId="9" borderId="6" xfId="0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327D-50FD-425C-B31D-FF4778818FDE}">
  <dimension ref="A1:AZ25"/>
  <sheetViews>
    <sheetView tabSelected="1" workbookViewId="0">
      <selection activeCell="E3" sqref="E3"/>
    </sheetView>
  </sheetViews>
  <sheetFormatPr defaultRowHeight="14.4" x14ac:dyDescent="0.3"/>
  <cols>
    <col min="5" max="5" width="33.6640625" customWidth="1"/>
  </cols>
  <sheetData>
    <row r="1" spans="1:52" x14ac:dyDescent="0.3">
      <c r="A1" s="1"/>
      <c r="B1" s="1"/>
      <c r="C1" s="1"/>
      <c r="D1" s="1"/>
      <c r="E1" s="1"/>
      <c r="F1" s="2" t="s">
        <v>0</v>
      </c>
      <c r="G1" s="2"/>
      <c r="H1" s="2"/>
      <c r="I1" s="2"/>
      <c r="J1" s="2" t="s">
        <v>1</v>
      </c>
      <c r="K1" s="2"/>
      <c r="L1" s="2"/>
      <c r="M1" s="2"/>
      <c r="N1" s="3" t="s">
        <v>2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6" t="s">
        <v>3</v>
      </c>
      <c r="AG1" s="7"/>
      <c r="AH1" s="7"/>
      <c r="AI1" s="7"/>
      <c r="AJ1" s="7"/>
      <c r="AK1" s="7"/>
      <c r="AL1" s="8"/>
      <c r="AM1" s="9" t="s">
        <v>4</v>
      </c>
      <c r="AN1" s="10"/>
      <c r="AO1" s="10"/>
      <c r="AP1" s="10"/>
      <c r="AQ1" s="10"/>
      <c r="AR1" s="10"/>
      <c r="AS1" s="10"/>
      <c r="AT1" s="10"/>
      <c r="AU1" s="10"/>
      <c r="AV1" s="10"/>
      <c r="AW1" s="11"/>
      <c r="AX1" s="12" t="s">
        <v>5</v>
      </c>
      <c r="AY1" s="13"/>
      <c r="AZ1" s="14"/>
    </row>
    <row r="2" spans="1:52" x14ac:dyDescent="0.3">
      <c r="A2" s="1"/>
      <c r="B2" s="1"/>
      <c r="C2" s="1"/>
      <c r="D2" s="1"/>
      <c r="E2" s="1"/>
      <c r="F2" s="15" t="s">
        <v>6</v>
      </c>
      <c r="G2" s="15" t="s">
        <v>7</v>
      </c>
      <c r="H2" s="15" t="s">
        <v>8</v>
      </c>
      <c r="I2" s="15"/>
      <c r="J2" s="15" t="s">
        <v>9</v>
      </c>
      <c r="K2" s="15" t="s">
        <v>10</v>
      </c>
      <c r="L2" s="15" t="s">
        <v>11</v>
      </c>
      <c r="M2" s="15"/>
      <c r="N2" s="3" t="s">
        <v>12</v>
      </c>
      <c r="O2" s="4"/>
      <c r="P2" s="4"/>
      <c r="Q2" s="4"/>
      <c r="R2" s="4"/>
      <c r="S2" s="4"/>
      <c r="T2" s="5"/>
      <c r="U2" s="16" t="s">
        <v>13</v>
      </c>
      <c r="V2" s="16"/>
      <c r="W2" s="16"/>
      <c r="X2" s="16"/>
      <c r="Y2" s="16"/>
      <c r="Z2" s="16" t="s">
        <v>14</v>
      </c>
      <c r="AA2" s="16"/>
      <c r="AB2" s="16"/>
      <c r="AC2" s="16"/>
      <c r="AD2" s="16"/>
      <c r="AE2" s="16"/>
      <c r="AF2" s="17" t="s">
        <v>6</v>
      </c>
      <c r="AG2" s="17" t="s">
        <v>7</v>
      </c>
      <c r="AH2" s="17" t="s">
        <v>8</v>
      </c>
      <c r="AI2" s="17" t="s">
        <v>9</v>
      </c>
      <c r="AJ2" s="17" t="s">
        <v>10</v>
      </c>
      <c r="AK2" s="17" t="s">
        <v>11</v>
      </c>
      <c r="AL2" s="17"/>
      <c r="AM2" s="9" t="s">
        <v>15</v>
      </c>
      <c r="AN2" s="10"/>
      <c r="AO2" s="10"/>
      <c r="AP2" s="10"/>
      <c r="AQ2" s="10"/>
      <c r="AR2" s="10"/>
      <c r="AS2" s="10"/>
      <c r="AT2" s="10"/>
      <c r="AU2" s="10"/>
      <c r="AV2" s="10"/>
      <c r="AW2" s="11"/>
      <c r="AX2" s="18" t="s">
        <v>15</v>
      </c>
      <c r="AY2" s="18"/>
      <c r="AZ2" s="18"/>
    </row>
    <row r="3" spans="1:52" ht="27.6" x14ac:dyDescent="0.3">
      <c r="A3" s="1" t="s">
        <v>16</v>
      </c>
      <c r="B3" s="19" t="s">
        <v>17</v>
      </c>
      <c r="C3" s="1" t="s">
        <v>18</v>
      </c>
      <c r="D3" s="1" t="s">
        <v>19</v>
      </c>
      <c r="E3" s="1" t="s">
        <v>20</v>
      </c>
      <c r="F3" s="15" t="s">
        <v>21</v>
      </c>
      <c r="G3" s="15" t="s">
        <v>22</v>
      </c>
      <c r="H3" s="15" t="s">
        <v>23</v>
      </c>
      <c r="I3" s="15" t="s">
        <v>24</v>
      </c>
      <c r="J3" s="15" t="s">
        <v>21</v>
      </c>
      <c r="K3" s="15" t="s">
        <v>22</v>
      </c>
      <c r="L3" s="15" t="s">
        <v>23</v>
      </c>
      <c r="M3" s="15" t="s">
        <v>24</v>
      </c>
      <c r="N3" s="20" t="s">
        <v>25</v>
      </c>
      <c r="O3" s="20" t="s">
        <v>6</v>
      </c>
      <c r="P3" s="20" t="s">
        <v>7</v>
      </c>
      <c r="Q3" s="20" t="s">
        <v>8</v>
      </c>
      <c r="R3" s="20" t="s">
        <v>9</v>
      </c>
      <c r="S3" s="20" t="s">
        <v>10</v>
      </c>
      <c r="T3" s="20" t="s">
        <v>11</v>
      </c>
      <c r="U3" s="21" t="s">
        <v>26</v>
      </c>
      <c r="V3" s="21" t="s">
        <v>27</v>
      </c>
      <c r="W3" s="21" t="s">
        <v>28</v>
      </c>
      <c r="X3" s="21" t="s">
        <v>29</v>
      </c>
      <c r="Y3" s="20" t="s">
        <v>24</v>
      </c>
      <c r="Z3" s="20" t="s">
        <v>6</v>
      </c>
      <c r="AA3" s="20" t="s">
        <v>7</v>
      </c>
      <c r="AB3" s="20" t="s">
        <v>8</v>
      </c>
      <c r="AC3" s="20" t="s">
        <v>9</v>
      </c>
      <c r="AD3" s="20" t="s">
        <v>10</v>
      </c>
      <c r="AE3" s="20" t="s">
        <v>11</v>
      </c>
      <c r="AF3" s="17" t="s">
        <v>21</v>
      </c>
      <c r="AG3" s="17" t="s">
        <v>22</v>
      </c>
      <c r="AH3" s="17" t="s">
        <v>23</v>
      </c>
      <c r="AI3" s="17" t="s">
        <v>30</v>
      </c>
      <c r="AJ3" s="17" t="s">
        <v>31</v>
      </c>
      <c r="AK3" s="17" t="s">
        <v>32</v>
      </c>
      <c r="AL3" s="17" t="s">
        <v>24</v>
      </c>
      <c r="AM3" s="22" t="s">
        <v>33</v>
      </c>
      <c r="AN3" s="22" t="s">
        <v>34</v>
      </c>
      <c r="AO3" s="22" t="s">
        <v>35</v>
      </c>
      <c r="AP3" s="22" t="s">
        <v>36</v>
      </c>
      <c r="AQ3" s="22" t="s">
        <v>37</v>
      </c>
      <c r="AR3" s="22" t="s">
        <v>38</v>
      </c>
      <c r="AS3" s="22" t="s">
        <v>39</v>
      </c>
      <c r="AT3" s="22" t="s">
        <v>40</v>
      </c>
      <c r="AU3" s="22" t="s">
        <v>41</v>
      </c>
      <c r="AV3" s="22" t="s">
        <v>42</v>
      </c>
      <c r="AW3" s="22" t="s">
        <v>43</v>
      </c>
      <c r="AX3" s="23" t="s">
        <v>44</v>
      </c>
      <c r="AY3" s="23"/>
      <c r="AZ3" s="23"/>
    </row>
    <row r="4" spans="1:52" ht="27.6" x14ac:dyDescent="0.3">
      <c r="A4" s="24"/>
      <c r="B4" s="24"/>
      <c r="C4" s="24"/>
      <c r="D4" s="24"/>
      <c r="E4" s="24" t="s">
        <v>45</v>
      </c>
      <c r="F4" s="25">
        <v>7</v>
      </c>
      <c r="G4" s="25">
        <v>7</v>
      </c>
      <c r="H4" s="25">
        <v>6</v>
      </c>
      <c r="I4" s="26">
        <f>SUM(F4:H4)</f>
        <v>20</v>
      </c>
      <c r="J4" s="26">
        <v>7</v>
      </c>
      <c r="K4" s="26">
        <v>7</v>
      </c>
      <c r="L4" s="26">
        <v>6</v>
      </c>
      <c r="M4" s="26">
        <f>SUM(J4:L4)</f>
        <v>20</v>
      </c>
      <c r="N4" s="27"/>
      <c r="O4" s="27"/>
      <c r="P4" s="27"/>
      <c r="Q4" s="27"/>
      <c r="R4" s="27"/>
      <c r="S4" s="27"/>
      <c r="T4" s="28"/>
      <c r="U4" s="27">
        <v>5</v>
      </c>
      <c r="V4" s="27">
        <v>5</v>
      </c>
      <c r="W4" s="27">
        <v>5</v>
      </c>
      <c r="X4" s="27">
        <v>5</v>
      </c>
      <c r="Y4" s="28">
        <f>SUM(U4:X4)</f>
        <v>20</v>
      </c>
      <c r="Z4" s="28"/>
      <c r="AA4" s="28"/>
      <c r="AB4" s="28"/>
      <c r="AC4" s="28"/>
      <c r="AD4" s="28"/>
      <c r="AE4" s="28"/>
      <c r="AF4" s="28">
        <v>10</v>
      </c>
      <c r="AG4" s="28">
        <v>10</v>
      </c>
      <c r="AH4" s="28">
        <v>10</v>
      </c>
      <c r="AI4" s="28">
        <v>10</v>
      </c>
      <c r="AJ4" s="28">
        <v>10</v>
      </c>
      <c r="AK4" s="28">
        <v>10</v>
      </c>
      <c r="AL4" s="24">
        <f>SUM(AF4:AK4)</f>
        <v>60</v>
      </c>
      <c r="AM4" s="28">
        <v>25</v>
      </c>
      <c r="AN4" s="28">
        <v>25</v>
      </c>
      <c r="AO4" s="28">
        <v>25</v>
      </c>
      <c r="AP4" s="28">
        <v>25</v>
      </c>
      <c r="AQ4" s="28">
        <v>25</v>
      </c>
      <c r="AR4" s="28">
        <v>25</v>
      </c>
      <c r="AS4" s="28">
        <v>25</v>
      </c>
      <c r="AT4" s="28">
        <v>25</v>
      </c>
      <c r="AU4" s="28">
        <v>25</v>
      </c>
      <c r="AV4" s="28">
        <v>25</v>
      </c>
      <c r="AW4" s="24">
        <v>25</v>
      </c>
      <c r="AX4" s="28">
        <v>25</v>
      </c>
      <c r="AY4" s="28"/>
      <c r="AZ4" s="28"/>
    </row>
    <row r="5" spans="1:52" ht="15.6" x14ac:dyDescent="0.3">
      <c r="A5" s="29">
        <v>1</v>
      </c>
      <c r="B5" s="30">
        <v>1</v>
      </c>
      <c r="C5" s="31" t="s">
        <v>46</v>
      </c>
      <c r="D5" s="31">
        <v>1914361133</v>
      </c>
      <c r="E5" s="32" t="s">
        <v>47</v>
      </c>
      <c r="F5" s="33">
        <v>7</v>
      </c>
      <c r="G5" s="33">
        <v>5</v>
      </c>
      <c r="H5" s="33" t="s">
        <v>48</v>
      </c>
      <c r="I5" s="34" cm="1">
        <f t="array" ref="I5">IF(AND(F5:H5="AB"),"AB",SUM(F5:H5))</f>
        <v>12</v>
      </c>
      <c r="J5" s="33">
        <v>7</v>
      </c>
      <c r="K5" s="33">
        <v>5</v>
      </c>
      <c r="L5" s="33" t="s">
        <v>48</v>
      </c>
      <c r="M5" s="34" cm="1">
        <f t="array" ref="M5">IF(AND(J5:L5="AB"),"AB",SUM(J5:L5))</f>
        <v>12</v>
      </c>
      <c r="N5" s="35" t="s">
        <v>49</v>
      </c>
      <c r="O5" s="36">
        <v>3</v>
      </c>
      <c r="P5" s="37">
        <v>2</v>
      </c>
      <c r="Q5" s="38"/>
      <c r="R5" s="38">
        <v>1</v>
      </c>
      <c r="S5" s="31">
        <v>1</v>
      </c>
      <c r="T5" s="36">
        <v>1</v>
      </c>
      <c r="U5" s="37">
        <v>4</v>
      </c>
      <c r="V5" s="38">
        <v>5</v>
      </c>
      <c r="W5" s="38">
        <v>4</v>
      </c>
      <c r="X5" s="38">
        <v>4</v>
      </c>
      <c r="Y5" s="39" cm="1">
        <f t="array" ref="Y5">IF(AND(U5:X5="AB"),"AB",SUM(U5:X5))</f>
        <v>17</v>
      </c>
      <c r="Z5" s="40">
        <f>IF(O5="","",Y5)</f>
        <v>17</v>
      </c>
      <c r="AA5" s="40">
        <f>IF(P5="","",Y5)</f>
        <v>17</v>
      </c>
      <c r="AB5" s="40" t="str">
        <f>IF(Q5="","",Y5)</f>
        <v/>
      </c>
      <c r="AC5" s="40">
        <f>IF(R5="","",Y5)</f>
        <v>17</v>
      </c>
      <c r="AD5" s="40">
        <f>IF(S5="","",Y5)</f>
        <v>17</v>
      </c>
      <c r="AE5" s="40">
        <f>IF(T5="","",Y5)</f>
        <v>17</v>
      </c>
      <c r="AF5" s="36">
        <v>2</v>
      </c>
      <c r="AG5" s="36">
        <v>2</v>
      </c>
      <c r="AH5" s="36">
        <v>2.5</v>
      </c>
      <c r="AI5" s="37">
        <v>7.5</v>
      </c>
      <c r="AJ5" s="38">
        <v>3</v>
      </c>
      <c r="AK5" s="38">
        <v>2.5</v>
      </c>
      <c r="AL5" s="41" cm="1">
        <f t="array" ref="AL5">IF(AND(AF5:AK5="AB"),"AB",SUM(AF5:AK5))</f>
        <v>19.5</v>
      </c>
      <c r="AM5" s="36">
        <v>24</v>
      </c>
      <c r="AN5" s="36">
        <v>24</v>
      </c>
      <c r="AO5" s="36">
        <v>24</v>
      </c>
      <c r="AP5" s="37">
        <v>12</v>
      </c>
      <c r="AQ5" s="38">
        <v>10</v>
      </c>
      <c r="AR5" s="38">
        <v>18</v>
      </c>
      <c r="AS5" s="38">
        <v>20</v>
      </c>
      <c r="AT5" s="38">
        <v>18</v>
      </c>
      <c r="AU5" s="42">
        <v>18</v>
      </c>
      <c r="AV5" s="42">
        <v>18</v>
      </c>
      <c r="AW5" s="43" cm="1">
        <f t="array" ref="AW5">IF(AND(AM5:AV5="AB"),"AB",AVERAGE(AM5:AV5))</f>
        <v>18.600000000000001</v>
      </c>
      <c r="AX5" s="36">
        <v>16</v>
      </c>
      <c r="AY5" s="44"/>
      <c r="AZ5" s="44"/>
    </row>
    <row r="6" spans="1:52" ht="15.6" x14ac:dyDescent="0.3">
      <c r="A6" s="29">
        <v>2</v>
      </c>
      <c r="B6" s="30">
        <v>2</v>
      </c>
      <c r="C6" s="31" t="s">
        <v>50</v>
      </c>
      <c r="D6" s="31">
        <v>1914361134</v>
      </c>
      <c r="E6" s="32" t="s">
        <v>51</v>
      </c>
      <c r="F6" s="33">
        <v>6</v>
      </c>
      <c r="G6" s="33">
        <v>5</v>
      </c>
      <c r="H6" s="33">
        <v>7</v>
      </c>
      <c r="I6" s="34" cm="1">
        <f t="array" ref="I6">IF(AND(F6:H6="AB"),"AB",SUM(F6:H6))</f>
        <v>18</v>
      </c>
      <c r="J6" s="33">
        <v>6</v>
      </c>
      <c r="K6" s="33">
        <v>5</v>
      </c>
      <c r="L6" s="33">
        <v>7</v>
      </c>
      <c r="M6" s="34" cm="1">
        <f t="array" ref="M6">IF(AND(J6:L6="AB"),"AB",SUM(J6:L6))</f>
        <v>18</v>
      </c>
      <c r="N6" s="35"/>
      <c r="O6" s="36">
        <v>3</v>
      </c>
      <c r="P6" s="37">
        <v>2</v>
      </c>
      <c r="Q6" s="38">
        <v>1</v>
      </c>
      <c r="R6" s="38"/>
      <c r="S6" s="31">
        <v>1</v>
      </c>
      <c r="T6" s="36">
        <v>1</v>
      </c>
      <c r="U6" s="37">
        <v>2</v>
      </c>
      <c r="V6" s="38">
        <v>2</v>
      </c>
      <c r="W6" s="38">
        <v>3</v>
      </c>
      <c r="X6" s="42">
        <v>5</v>
      </c>
      <c r="Y6" s="39" cm="1">
        <f t="array" ref="Y6">IF(AND(U6:X6="AB"),"AB",SUM(U6:X6))</f>
        <v>12</v>
      </c>
      <c r="Z6" s="40">
        <f t="shared" ref="Z6:Z25" si="0">IF(O6="","",Y6)</f>
        <v>12</v>
      </c>
      <c r="AA6" s="40">
        <f t="shared" ref="AA6:AA25" si="1">IF(P6="","",Y6)</f>
        <v>12</v>
      </c>
      <c r="AB6" s="40">
        <f t="shared" ref="AB6:AB25" si="2">IF(Q6="","",Y6)</f>
        <v>12</v>
      </c>
      <c r="AC6" s="40" t="str">
        <f t="shared" ref="AC6:AC25" si="3">IF(R6="","",Y6)</f>
        <v/>
      </c>
      <c r="AD6" s="40">
        <f t="shared" ref="AD6:AD25" si="4">IF(S6="","",Y6)</f>
        <v>12</v>
      </c>
      <c r="AE6" s="40">
        <f t="shared" ref="AE6:AE25" si="5">IF(T6="","",Y6)</f>
        <v>12</v>
      </c>
      <c r="AF6" s="36">
        <v>0</v>
      </c>
      <c r="AG6" s="36">
        <v>9</v>
      </c>
      <c r="AH6" s="36">
        <v>4</v>
      </c>
      <c r="AI6" s="45">
        <v>8</v>
      </c>
      <c r="AJ6" s="42">
        <v>7</v>
      </c>
      <c r="AK6" s="42">
        <v>10</v>
      </c>
      <c r="AL6" s="41" cm="1">
        <f t="array" ref="AL6">IF(AND(AF6:AK6="AB"),"AB",SUM(AF6:AK6))</f>
        <v>38</v>
      </c>
      <c r="AM6" s="36">
        <v>16</v>
      </c>
      <c r="AN6" s="36">
        <v>14</v>
      </c>
      <c r="AO6" s="36">
        <v>13</v>
      </c>
      <c r="AP6" s="45">
        <v>16</v>
      </c>
      <c r="AQ6" s="42">
        <v>14</v>
      </c>
      <c r="AR6" s="42">
        <v>13</v>
      </c>
      <c r="AS6" s="42">
        <v>17</v>
      </c>
      <c r="AT6" s="42">
        <v>19</v>
      </c>
      <c r="AU6" s="42">
        <v>19</v>
      </c>
      <c r="AV6" s="42">
        <v>19</v>
      </c>
      <c r="AW6" s="43" cm="1">
        <f t="array" ref="AW6">IF(AND(AM6:AV6="AB"),"AB",AVERAGE(AM6:AV6))</f>
        <v>16</v>
      </c>
      <c r="AX6" s="36">
        <v>16</v>
      </c>
      <c r="AY6" s="44"/>
      <c r="AZ6" s="44"/>
    </row>
    <row r="7" spans="1:52" ht="15.6" x14ac:dyDescent="0.3">
      <c r="A7" s="29">
        <v>3</v>
      </c>
      <c r="B7" s="30">
        <v>3</v>
      </c>
      <c r="C7" s="31" t="s">
        <v>52</v>
      </c>
      <c r="D7" s="31">
        <v>1914361135</v>
      </c>
      <c r="E7" s="32" t="s">
        <v>53</v>
      </c>
      <c r="F7" s="33">
        <v>5</v>
      </c>
      <c r="G7" s="33">
        <v>6</v>
      </c>
      <c r="H7" s="33">
        <v>7</v>
      </c>
      <c r="I7" s="34" cm="1">
        <f t="array" ref="I7">IF(AND(F7:H7="AB"),"AB",SUM(F7:H7))</f>
        <v>18</v>
      </c>
      <c r="J7" s="33">
        <v>5</v>
      </c>
      <c r="K7" s="33">
        <v>6</v>
      </c>
      <c r="L7" s="33">
        <v>7</v>
      </c>
      <c r="M7" s="34" cm="1">
        <f t="array" ref="M7">IF(AND(J7:L7="AB"),"AB",SUM(J7:L7))</f>
        <v>18</v>
      </c>
      <c r="N7" s="35"/>
      <c r="O7" s="36">
        <v>3</v>
      </c>
      <c r="P7" s="37">
        <v>2</v>
      </c>
      <c r="Q7" s="38">
        <v>1</v>
      </c>
      <c r="R7" s="38">
        <v>1</v>
      </c>
      <c r="S7" s="31"/>
      <c r="T7" s="36">
        <v>1</v>
      </c>
      <c r="U7" s="37" t="s">
        <v>48</v>
      </c>
      <c r="V7" s="37" t="s">
        <v>48</v>
      </c>
      <c r="W7" s="37" t="s">
        <v>48</v>
      </c>
      <c r="X7" s="37" t="s">
        <v>48</v>
      </c>
      <c r="Y7" s="39" t="str" cm="1">
        <f t="array" ref="Y7">IF(AND(U7:X7="AB"),"AB",SUM(U7:X7))</f>
        <v>AB</v>
      </c>
      <c r="Z7" s="40" t="str">
        <f t="shared" si="0"/>
        <v>AB</v>
      </c>
      <c r="AA7" s="40" t="str">
        <f t="shared" si="1"/>
        <v>AB</v>
      </c>
      <c r="AB7" s="40" t="str">
        <f t="shared" si="2"/>
        <v>AB</v>
      </c>
      <c r="AC7" s="40" t="str">
        <f t="shared" si="3"/>
        <v>AB</v>
      </c>
      <c r="AD7" s="40" t="str">
        <f t="shared" si="4"/>
        <v/>
      </c>
      <c r="AE7" s="40" t="str">
        <f t="shared" si="5"/>
        <v>AB</v>
      </c>
      <c r="AF7" s="36">
        <v>8</v>
      </c>
      <c r="AG7" s="36">
        <v>8</v>
      </c>
      <c r="AH7" s="36">
        <v>0</v>
      </c>
      <c r="AI7" s="45">
        <v>2</v>
      </c>
      <c r="AJ7" s="42">
        <v>4</v>
      </c>
      <c r="AK7" s="42">
        <v>5</v>
      </c>
      <c r="AL7" s="41" cm="1">
        <f t="array" ref="AL7">IF(AND(AF7:AK7="AB"),"AB",SUM(AF7:AK7))</f>
        <v>27</v>
      </c>
      <c r="AM7" s="36">
        <v>23</v>
      </c>
      <c r="AN7" s="36">
        <v>21</v>
      </c>
      <c r="AO7" s="36">
        <v>20</v>
      </c>
      <c r="AP7" s="45">
        <v>23</v>
      </c>
      <c r="AQ7" s="42">
        <v>21</v>
      </c>
      <c r="AR7" s="42">
        <v>20</v>
      </c>
      <c r="AS7" s="42">
        <v>17</v>
      </c>
      <c r="AT7" s="42">
        <v>18</v>
      </c>
      <c r="AU7" s="42">
        <v>18</v>
      </c>
      <c r="AV7" s="42">
        <v>18</v>
      </c>
      <c r="AW7" s="43" cm="1">
        <f t="array" ref="AW7">IF(AND(AM7:AV7="AB"),"AB",AVERAGE(AM7:AV7))</f>
        <v>19.899999999999999</v>
      </c>
      <c r="AX7" s="36">
        <v>23</v>
      </c>
      <c r="AY7" s="44"/>
      <c r="AZ7" s="44"/>
    </row>
    <row r="8" spans="1:52" ht="15.6" x14ac:dyDescent="0.3">
      <c r="A8" s="29">
        <v>4</v>
      </c>
      <c r="B8" s="30">
        <v>4</v>
      </c>
      <c r="C8" s="31" t="s">
        <v>54</v>
      </c>
      <c r="D8" s="31">
        <v>1914361136</v>
      </c>
      <c r="E8" s="32" t="s">
        <v>55</v>
      </c>
      <c r="F8" s="33">
        <v>4</v>
      </c>
      <c r="G8" s="33">
        <v>6</v>
      </c>
      <c r="H8" s="33">
        <v>7</v>
      </c>
      <c r="I8" s="34" cm="1">
        <f t="array" ref="I8">IF(AND(F8:H8="AB"),"AB",SUM(F8:H8))</f>
        <v>17</v>
      </c>
      <c r="J8" s="33">
        <v>4</v>
      </c>
      <c r="K8" s="33">
        <v>6</v>
      </c>
      <c r="L8" s="33">
        <v>7</v>
      </c>
      <c r="M8" s="34" cm="1">
        <f t="array" ref="M8">IF(AND(J8:L8="AB"),"AB",SUM(J8:L8))</f>
        <v>17</v>
      </c>
      <c r="N8" s="35"/>
      <c r="O8" s="36"/>
      <c r="P8" s="37"/>
      <c r="Q8" s="38"/>
      <c r="R8" s="38"/>
      <c r="S8" s="31"/>
      <c r="T8" s="36"/>
      <c r="U8" s="37"/>
      <c r="V8" s="38"/>
      <c r="W8" s="38"/>
      <c r="X8" s="42"/>
      <c r="Y8" s="39" cm="1">
        <f t="array" ref="Y8">IF(AND(U8:X8="AB"),"AB",SUM(U8:X8))</f>
        <v>0</v>
      </c>
      <c r="Z8" s="40" t="str">
        <f t="shared" si="0"/>
        <v/>
      </c>
      <c r="AA8" s="40" t="str">
        <f t="shared" si="1"/>
        <v/>
      </c>
      <c r="AB8" s="40" t="str">
        <f t="shared" si="2"/>
        <v/>
      </c>
      <c r="AC8" s="40" t="str">
        <f t="shared" si="3"/>
        <v/>
      </c>
      <c r="AD8" s="40" t="str">
        <f t="shared" si="4"/>
        <v/>
      </c>
      <c r="AE8" s="40" t="str">
        <f t="shared" si="5"/>
        <v/>
      </c>
      <c r="AF8" s="36">
        <v>6</v>
      </c>
      <c r="AG8" s="36">
        <v>8</v>
      </c>
      <c r="AH8" s="36">
        <v>6</v>
      </c>
      <c r="AI8" s="45">
        <v>7</v>
      </c>
      <c r="AJ8" s="42">
        <v>0</v>
      </c>
      <c r="AK8" s="42">
        <v>6</v>
      </c>
      <c r="AL8" s="41" cm="1">
        <f t="array" ref="AL8">IF(AND(AF8:AK8="AB"),"AB",SUM(AF8:AK8))</f>
        <v>33</v>
      </c>
      <c r="AM8" s="36">
        <v>22</v>
      </c>
      <c r="AN8" s="36">
        <v>18</v>
      </c>
      <c r="AO8" s="36">
        <v>24</v>
      </c>
      <c r="AP8" s="45">
        <v>22</v>
      </c>
      <c r="AQ8" s="42">
        <v>18</v>
      </c>
      <c r="AR8" s="42">
        <v>24</v>
      </c>
      <c r="AS8" s="42">
        <v>13</v>
      </c>
      <c r="AT8" s="42">
        <v>14</v>
      </c>
      <c r="AU8" s="42">
        <v>14</v>
      </c>
      <c r="AV8" s="42">
        <v>14</v>
      </c>
      <c r="AW8" s="43" cm="1">
        <f t="array" ref="AW8">IF(AND(AM8:AV8="AB"),"AB",AVERAGE(AM8:AV8))</f>
        <v>18.3</v>
      </c>
      <c r="AX8" s="36">
        <v>22</v>
      </c>
      <c r="AY8" s="44"/>
      <c r="AZ8" s="44"/>
    </row>
    <row r="9" spans="1:52" ht="15.6" x14ac:dyDescent="0.3">
      <c r="A9" s="29">
        <v>5</v>
      </c>
      <c r="B9" s="30">
        <v>5</v>
      </c>
      <c r="C9" s="31" t="s">
        <v>56</v>
      </c>
      <c r="D9" s="31">
        <v>1914361137</v>
      </c>
      <c r="E9" s="46" t="s">
        <v>57</v>
      </c>
      <c r="F9" s="33">
        <v>3</v>
      </c>
      <c r="G9" s="33">
        <v>6</v>
      </c>
      <c r="H9" s="33">
        <v>7</v>
      </c>
      <c r="I9" s="34" cm="1">
        <f t="array" ref="I9">IF(AND(F9:H9="AB"),"AB",SUM(F9:H9))</f>
        <v>16</v>
      </c>
      <c r="J9" s="33">
        <v>3</v>
      </c>
      <c r="K9" s="33">
        <v>6</v>
      </c>
      <c r="L9" s="33">
        <v>7</v>
      </c>
      <c r="M9" s="34" cm="1">
        <f t="array" ref="M9">IF(AND(J9:L9="AB"),"AB",SUM(J9:L9))</f>
        <v>16</v>
      </c>
      <c r="N9" s="35"/>
      <c r="O9" s="36"/>
      <c r="P9" s="37"/>
      <c r="Q9" s="38"/>
      <c r="R9" s="38"/>
      <c r="S9" s="31"/>
      <c r="T9" s="36"/>
      <c r="U9" s="37"/>
      <c r="V9" s="38"/>
      <c r="W9" s="38"/>
      <c r="X9" s="42"/>
      <c r="Y9" s="39" cm="1">
        <f t="array" ref="Y9">IF(AND(U9:X9="AB"),"AB",SUM(U9:X9))</f>
        <v>0</v>
      </c>
      <c r="Z9" s="40" t="str">
        <f t="shared" si="0"/>
        <v/>
      </c>
      <c r="AA9" s="40" t="str">
        <f t="shared" si="1"/>
        <v/>
      </c>
      <c r="AB9" s="40" t="str">
        <f t="shared" si="2"/>
        <v/>
      </c>
      <c r="AC9" s="40" t="str">
        <f t="shared" si="3"/>
        <v/>
      </c>
      <c r="AD9" s="40" t="str">
        <f t="shared" si="4"/>
        <v/>
      </c>
      <c r="AE9" s="40" t="str">
        <f t="shared" si="5"/>
        <v/>
      </c>
      <c r="AF9" s="36">
        <v>7</v>
      </c>
      <c r="AG9" s="36">
        <v>10</v>
      </c>
      <c r="AH9" s="36">
        <v>5</v>
      </c>
      <c r="AI9" s="45">
        <v>8.5</v>
      </c>
      <c r="AJ9" s="42">
        <v>8</v>
      </c>
      <c r="AK9" s="42">
        <v>5</v>
      </c>
      <c r="AL9" s="41" cm="1">
        <f t="array" ref="AL9">IF(AND(AF9:AK9="AB"),"AB",SUM(AF9:AK9))</f>
        <v>43.5</v>
      </c>
      <c r="AM9" s="36">
        <v>17</v>
      </c>
      <c r="AN9" s="36">
        <v>19</v>
      </c>
      <c r="AO9" s="36">
        <v>23</v>
      </c>
      <c r="AP9" s="45">
        <v>17</v>
      </c>
      <c r="AQ9" s="42">
        <v>19</v>
      </c>
      <c r="AR9" s="42">
        <v>23</v>
      </c>
      <c r="AS9" s="42">
        <v>20</v>
      </c>
      <c r="AT9" s="42">
        <v>20</v>
      </c>
      <c r="AU9" s="42">
        <v>20</v>
      </c>
      <c r="AV9" s="42">
        <v>20</v>
      </c>
      <c r="AW9" s="43" cm="1">
        <f t="array" ref="AW9">IF(AND(AM9:AV9="AB"),"AB",AVERAGE(AM9:AV9))</f>
        <v>19.8</v>
      </c>
      <c r="AX9" s="36">
        <v>17</v>
      </c>
      <c r="AY9" s="44"/>
      <c r="AZ9" s="44"/>
    </row>
    <row r="10" spans="1:52" ht="15.6" x14ac:dyDescent="0.3">
      <c r="A10" s="29">
        <v>6</v>
      </c>
      <c r="B10" s="30">
        <v>6</v>
      </c>
      <c r="C10" s="31" t="s">
        <v>58</v>
      </c>
      <c r="D10" s="31">
        <v>1914361138</v>
      </c>
      <c r="E10" s="46" t="s">
        <v>59</v>
      </c>
      <c r="F10" s="33">
        <v>2</v>
      </c>
      <c r="G10" s="33">
        <v>6</v>
      </c>
      <c r="H10" s="33">
        <v>7</v>
      </c>
      <c r="I10" s="34" cm="1">
        <f t="array" ref="I10">IF(AND(F10:H10="AB"),"AB",SUM(F10:H10))</f>
        <v>15</v>
      </c>
      <c r="J10" s="33">
        <v>2</v>
      </c>
      <c r="K10" s="33">
        <v>6</v>
      </c>
      <c r="L10" s="33">
        <v>7</v>
      </c>
      <c r="M10" s="34" cm="1">
        <f t="array" ref="M10">IF(AND(J10:L10="AB"),"AB",SUM(J10:L10))</f>
        <v>15</v>
      </c>
      <c r="N10" s="35"/>
      <c r="O10" s="36"/>
      <c r="P10" s="37"/>
      <c r="Q10" s="38"/>
      <c r="R10" s="38"/>
      <c r="S10" s="31"/>
      <c r="T10" s="36"/>
      <c r="U10" s="37"/>
      <c r="V10" s="38"/>
      <c r="W10" s="38"/>
      <c r="X10" s="38"/>
      <c r="Y10" s="39" cm="1">
        <f t="array" ref="Y10">IF(AND(U10:X10="AB"),"AB",SUM(U10:X10))</f>
        <v>0</v>
      </c>
      <c r="Z10" s="40" t="str">
        <f t="shared" si="0"/>
        <v/>
      </c>
      <c r="AA10" s="40" t="str">
        <f t="shared" si="1"/>
        <v/>
      </c>
      <c r="AB10" s="40" t="str">
        <f t="shared" si="2"/>
        <v/>
      </c>
      <c r="AC10" s="40" t="str">
        <f t="shared" si="3"/>
        <v/>
      </c>
      <c r="AD10" s="40" t="str">
        <f t="shared" si="4"/>
        <v/>
      </c>
      <c r="AE10" s="40" t="str">
        <f t="shared" si="5"/>
        <v/>
      </c>
      <c r="AF10" s="36">
        <v>1</v>
      </c>
      <c r="AG10" s="36">
        <v>0.5</v>
      </c>
      <c r="AH10" s="36">
        <v>5</v>
      </c>
      <c r="AI10" s="45">
        <v>2</v>
      </c>
      <c r="AJ10" s="42">
        <v>8</v>
      </c>
      <c r="AK10" s="42">
        <v>7.5</v>
      </c>
      <c r="AL10" s="41" cm="1">
        <f t="array" ref="AL10">IF(AND(AF10:AK10="AB"),"AB",SUM(AF10:AK10))</f>
        <v>24</v>
      </c>
      <c r="AM10" s="36">
        <v>19</v>
      </c>
      <c r="AN10" s="36">
        <v>18</v>
      </c>
      <c r="AO10" s="36">
        <v>22</v>
      </c>
      <c r="AP10" s="45">
        <v>19</v>
      </c>
      <c r="AQ10" s="42">
        <v>18</v>
      </c>
      <c r="AR10" s="42">
        <v>22</v>
      </c>
      <c r="AS10" s="42">
        <v>24</v>
      </c>
      <c r="AT10" s="42">
        <v>21</v>
      </c>
      <c r="AU10" s="42">
        <v>21</v>
      </c>
      <c r="AV10" s="42">
        <v>21</v>
      </c>
      <c r="AW10" s="43" cm="1">
        <f t="array" ref="AW10">IF(AND(AM10:AV10="AB"),"AB",AVERAGE(AM10:AV10))</f>
        <v>20.5</v>
      </c>
      <c r="AX10" s="36">
        <v>19</v>
      </c>
      <c r="AY10" s="44"/>
      <c r="AZ10" s="44"/>
    </row>
    <row r="11" spans="1:52" ht="15.6" x14ac:dyDescent="0.3">
      <c r="A11" s="29">
        <v>7</v>
      </c>
      <c r="B11" s="30">
        <v>7</v>
      </c>
      <c r="C11" s="31" t="s">
        <v>60</v>
      </c>
      <c r="D11" s="31">
        <v>1914361139</v>
      </c>
      <c r="E11" s="46" t="s">
        <v>61</v>
      </c>
      <c r="F11" s="33">
        <v>1</v>
      </c>
      <c r="G11" s="33">
        <v>6</v>
      </c>
      <c r="H11" s="33">
        <v>7</v>
      </c>
      <c r="I11" s="34" cm="1">
        <f t="array" ref="I11">IF(AND(F11:H11="AB"),"AB",SUM(F11:H11))</f>
        <v>14</v>
      </c>
      <c r="J11" s="33">
        <v>1</v>
      </c>
      <c r="K11" s="33">
        <v>6</v>
      </c>
      <c r="L11" s="33">
        <v>7</v>
      </c>
      <c r="M11" s="34" cm="1">
        <f t="array" ref="M11">IF(AND(J11:L11="AB"),"AB",SUM(J11:L11))</f>
        <v>14</v>
      </c>
      <c r="N11" s="35"/>
      <c r="O11" s="36"/>
      <c r="P11" s="37"/>
      <c r="Q11" s="38"/>
      <c r="R11" s="38"/>
      <c r="S11" s="31"/>
      <c r="T11" s="36"/>
      <c r="U11" s="37"/>
      <c r="V11" s="38"/>
      <c r="W11" s="38"/>
      <c r="X11" s="42"/>
      <c r="Y11" s="39" cm="1">
        <f t="array" ref="Y11">IF(AND(U11:X11="AB"),"AB",SUM(U11:X11))</f>
        <v>0</v>
      </c>
      <c r="Z11" s="40" t="str">
        <f t="shared" si="0"/>
        <v/>
      </c>
      <c r="AA11" s="40" t="str">
        <f t="shared" si="1"/>
        <v/>
      </c>
      <c r="AB11" s="40" t="str">
        <f t="shared" si="2"/>
        <v/>
      </c>
      <c r="AC11" s="40" t="str">
        <f t="shared" si="3"/>
        <v/>
      </c>
      <c r="AD11" s="40" t="str">
        <f t="shared" si="4"/>
        <v/>
      </c>
      <c r="AE11" s="40" t="str">
        <f t="shared" si="5"/>
        <v/>
      </c>
      <c r="AF11" s="36">
        <v>0</v>
      </c>
      <c r="AG11" s="36">
        <v>3.5</v>
      </c>
      <c r="AH11" s="36">
        <v>3.5</v>
      </c>
      <c r="AI11" s="45">
        <v>2</v>
      </c>
      <c r="AJ11" s="42">
        <v>8</v>
      </c>
      <c r="AK11" s="42">
        <v>2.5</v>
      </c>
      <c r="AL11" s="41" cm="1">
        <f t="array" ref="AL11">IF(AND(AF11:AK11="AB"),"AB",SUM(AF11:AK11))</f>
        <v>19.5</v>
      </c>
      <c r="AM11" s="36">
        <v>24</v>
      </c>
      <c r="AN11" s="36">
        <v>20</v>
      </c>
      <c r="AO11" s="36">
        <v>18</v>
      </c>
      <c r="AP11" s="45">
        <v>24</v>
      </c>
      <c r="AQ11" s="42">
        <v>20</v>
      </c>
      <c r="AR11" s="42">
        <v>18</v>
      </c>
      <c r="AS11" s="42">
        <v>23</v>
      </c>
      <c r="AT11" s="42">
        <v>20</v>
      </c>
      <c r="AU11" s="42">
        <v>20</v>
      </c>
      <c r="AV11" s="42">
        <v>20</v>
      </c>
      <c r="AW11" s="43" cm="1">
        <f t="array" ref="AW11">IF(AND(AM11:AV11="AB"),"AB",AVERAGE(AM11:AV11))</f>
        <v>20.7</v>
      </c>
      <c r="AX11" s="36">
        <v>24</v>
      </c>
      <c r="AY11" s="44"/>
      <c r="AZ11" s="44"/>
    </row>
    <row r="12" spans="1:52" ht="15.6" x14ac:dyDescent="0.3">
      <c r="A12" s="29">
        <v>8</v>
      </c>
      <c r="B12" s="30">
        <v>8</v>
      </c>
      <c r="C12" s="31" t="s">
        <v>62</v>
      </c>
      <c r="D12" s="31">
        <v>1914361140</v>
      </c>
      <c r="E12" s="46" t="s">
        <v>63</v>
      </c>
      <c r="F12" s="33">
        <v>0</v>
      </c>
      <c r="G12" s="33">
        <v>6</v>
      </c>
      <c r="H12" s="33">
        <v>7</v>
      </c>
      <c r="I12" s="34" cm="1">
        <f t="array" ref="I12">IF(AND(F12:H12="AB"),"AB",SUM(F12:H12))</f>
        <v>13</v>
      </c>
      <c r="J12" s="33">
        <v>0</v>
      </c>
      <c r="K12" s="33">
        <v>6</v>
      </c>
      <c r="L12" s="33">
        <v>7</v>
      </c>
      <c r="M12" s="34" cm="1">
        <f t="array" ref="M12">IF(AND(J12:L12="AB"),"AB",SUM(J12:L12))</f>
        <v>13</v>
      </c>
      <c r="N12" s="35"/>
      <c r="O12" s="36"/>
      <c r="P12" s="45"/>
      <c r="Q12" s="42"/>
      <c r="R12" s="42"/>
      <c r="S12" s="31"/>
      <c r="T12" s="36"/>
      <c r="U12" s="45"/>
      <c r="V12" s="42"/>
      <c r="W12" s="42"/>
      <c r="X12" s="42"/>
      <c r="Y12" s="39" cm="1">
        <f t="array" ref="Y12">IF(AND(U12:X12="AB"),"AB",SUM(U12:X12))</f>
        <v>0</v>
      </c>
      <c r="Z12" s="40" t="str">
        <f t="shared" si="0"/>
        <v/>
      </c>
      <c r="AA12" s="40" t="str">
        <f t="shared" si="1"/>
        <v/>
      </c>
      <c r="AB12" s="40" t="str">
        <f t="shared" si="2"/>
        <v/>
      </c>
      <c r="AC12" s="40" t="str">
        <f t="shared" si="3"/>
        <v/>
      </c>
      <c r="AD12" s="40" t="str">
        <f t="shared" si="4"/>
        <v/>
      </c>
      <c r="AE12" s="40" t="str">
        <f t="shared" si="5"/>
        <v/>
      </c>
      <c r="AF12" s="36">
        <v>9.5</v>
      </c>
      <c r="AG12" s="36">
        <v>10</v>
      </c>
      <c r="AH12" s="36">
        <v>10</v>
      </c>
      <c r="AI12" s="45">
        <v>8.5</v>
      </c>
      <c r="AJ12" s="42">
        <v>9.5</v>
      </c>
      <c r="AK12" s="42">
        <v>5</v>
      </c>
      <c r="AL12" s="41" cm="1">
        <f t="array" ref="AL12">IF(AND(AF12:AK12="AB"),"AB",SUM(AF12:AK12))</f>
        <v>52.5</v>
      </c>
      <c r="AM12" s="36">
        <v>22</v>
      </c>
      <c r="AN12" s="36">
        <v>20</v>
      </c>
      <c r="AO12" s="36">
        <v>17</v>
      </c>
      <c r="AP12" s="45">
        <v>22</v>
      </c>
      <c r="AQ12" s="42">
        <v>20</v>
      </c>
      <c r="AR12" s="42">
        <v>17</v>
      </c>
      <c r="AS12" s="42">
        <v>22</v>
      </c>
      <c r="AT12" s="42">
        <v>20</v>
      </c>
      <c r="AU12" s="42">
        <v>20</v>
      </c>
      <c r="AV12" s="42">
        <v>20</v>
      </c>
      <c r="AW12" s="43" cm="1">
        <f t="array" ref="AW12">IF(AND(AM12:AV12="AB"),"AB",AVERAGE(AM12:AV12))</f>
        <v>20</v>
      </c>
      <c r="AX12" s="36">
        <v>22</v>
      </c>
      <c r="AY12" s="44"/>
      <c r="AZ12" s="44"/>
    </row>
    <row r="13" spans="1:52" ht="15.6" x14ac:dyDescent="0.3">
      <c r="A13" s="29">
        <v>9</v>
      </c>
      <c r="B13" s="30">
        <v>9</v>
      </c>
      <c r="C13" s="31" t="s">
        <v>64</v>
      </c>
      <c r="D13" s="31">
        <v>1914361141</v>
      </c>
      <c r="E13" s="46" t="s">
        <v>65</v>
      </c>
      <c r="F13" s="33" t="s">
        <v>48</v>
      </c>
      <c r="G13" s="33">
        <v>6</v>
      </c>
      <c r="H13" s="33">
        <v>7</v>
      </c>
      <c r="I13" s="34" cm="1">
        <f t="array" ref="I13">IF(AND(F13:H13="AB"),"AB",SUM(F13:H13))</f>
        <v>13</v>
      </c>
      <c r="J13" s="33" t="s">
        <v>48</v>
      </c>
      <c r="K13" s="33">
        <v>6</v>
      </c>
      <c r="L13" s="33">
        <v>7</v>
      </c>
      <c r="M13" s="34" cm="1">
        <f t="array" ref="M13">IF(AND(J13:L13="AB"),"AB",SUM(J13:L13))</f>
        <v>13</v>
      </c>
      <c r="N13" s="35"/>
      <c r="O13" s="36"/>
      <c r="P13" s="37"/>
      <c r="Q13" s="38"/>
      <c r="R13" s="38"/>
      <c r="S13" s="31"/>
      <c r="T13" s="36"/>
      <c r="U13" s="37"/>
      <c r="V13" s="38"/>
      <c r="W13" s="38"/>
      <c r="X13" s="38"/>
      <c r="Y13" s="39" cm="1">
        <f t="array" ref="Y13">IF(AND(U13:X13="AB"),"AB",SUM(U13:X13))</f>
        <v>0</v>
      </c>
      <c r="Z13" s="40" t="str">
        <f t="shared" si="0"/>
        <v/>
      </c>
      <c r="AA13" s="40" t="str">
        <f t="shared" si="1"/>
        <v/>
      </c>
      <c r="AB13" s="40" t="str">
        <f t="shared" si="2"/>
        <v/>
      </c>
      <c r="AC13" s="40" t="str">
        <f t="shared" si="3"/>
        <v/>
      </c>
      <c r="AD13" s="40" t="str">
        <f t="shared" si="4"/>
        <v/>
      </c>
      <c r="AE13" s="40" t="str">
        <f t="shared" si="5"/>
        <v/>
      </c>
      <c r="AF13" s="36">
        <v>8</v>
      </c>
      <c r="AG13" s="36">
        <v>9</v>
      </c>
      <c r="AH13" s="36">
        <v>8</v>
      </c>
      <c r="AI13" s="45">
        <v>8</v>
      </c>
      <c r="AJ13" s="42">
        <v>7</v>
      </c>
      <c r="AK13" s="42">
        <v>8</v>
      </c>
      <c r="AL13" s="41" cm="1">
        <f t="array" ref="AL13">IF(AND(AF13:AK13="AB"),"AB",SUM(AF13:AK13))</f>
        <v>48</v>
      </c>
      <c r="AM13" s="36">
        <v>19</v>
      </c>
      <c r="AN13" s="36">
        <v>20</v>
      </c>
      <c r="AO13" s="36">
        <v>19</v>
      </c>
      <c r="AP13" s="45">
        <v>19</v>
      </c>
      <c r="AQ13" s="42">
        <v>20</v>
      </c>
      <c r="AR13" s="42">
        <v>19</v>
      </c>
      <c r="AS13" s="42">
        <v>18</v>
      </c>
      <c r="AT13" s="42">
        <v>18</v>
      </c>
      <c r="AU13" s="42">
        <v>18</v>
      </c>
      <c r="AV13" s="42">
        <v>18</v>
      </c>
      <c r="AW13" s="43" cm="1">
        <f t="array" ref="AW13">IF(AND(AM13:AV13="AB"),"AB",AVERAGE(AM13:AV13))</f>
        <v>18.8</v>
      </c>
      <c r="AX13" s="36">
        <v>19</v>
      </c>
      <c r="AY13" s="44"/>
      <c r="AZ13" s="44"/>
    </row>
    <row r="14" spans="1:52" ht="15.6" x14ac:dyDescent="0.3">
      <c r="A14" s="29">
        <v>10</v>
      </c>
      <c r="B14" s="30">
        <v>10</v>
      </c>
      <c r="C14" s="31" t="s">
        <v>66</v>
      </c>
      <c r="D14" s="31">
        <v>1914361142</v>
      </c>
      <c r="E14" s="46" t="s">
        <v>67</v>
      </c>
      <c r="F14" s="33">
        <v>7</v>
      </c>
      <c r="G14" s="33">
        <v>6</v>
      </c>
      <c r="H14" s="33">
        <v>7</v>
      </c>
      <c r="I14" s="34" cm="1">
        <f t="array" ref="I14">IF(AND(F14:H14="AB"),"AB",SUM(F14:H14))</f>
        <v>20</v>
      </c>
      <c r="J14" s="33">
        <v>7</v>
      </c>
      <c r="K14" s="33">
        <v>6</v>
      </c>
      <c r="L14" s="33">
        <v>7</v>
      </c>
      <c r="M14" s="34" cm="1">
        <f t="array" ref="M14">IF(AND(J14:L14="AB"),"AB",SUM(J14:L14))</f>
        <v>20</v>
      </c>
      <c r="N14" s="35"/>
      <c r="O14" s="31"/>
      <c r="P14" s="31"/>
      <c r="Q14" s="31"/>
      <c r="R14" s="31"/>
      <c r="S14" s="31"/>
      <c r="T14" s="36"/>
      <c r="U14" s="45"/>
      <c r="V14" s="42"/>
      <c r="W14" s="42"/>
      <c r="X14" s="42"/>
      <c r="Y14" s="39" cm="1">
        <f t="array" ref="Y14">IF(AND(U14:X14="AB"),"AB",SUM(U14:X14))</f>
        <v>0</v>
      </c>
      <c r="Z14" s="40" t="str">
        <f t="shared" si="0"/>
        <v/>
      </c>
      <c r="AA14" s="40" t="str">
        <f t="shared" si="1"/>
        <v/>
      </c>
      <c r="AB14" s="40" t="str">
        <f t="shared" si="2"/>
        <v/>
      </c>
      <c r="AC14" s="40" t="str">
        <f t="shared" si="3"/>
        <v/>
      </c>
      <c r="AD14" s="40" t="str">
        <f t="shared" si="4"/>
        <v/>
      </c>
      <c r="AE14" s="40" t="str">
        <f t="shared" si="5"/>
        <v/>
      </c>
      <c r="AF14" s="36">
        <v>6.5</v>
      </c>
      <c r="AG14" s="36">
        <v>10</v>
      </c>
      <c r="AH14" s="36">
        <v>8</v>
      </c>
      <c r="AI14" s="45">
        <v>7.5</v>
      </c>
      <c r="AJ14" s="42">
        <v>9</v>
      </c>
      <c r="AK14" s="42">
        <v>6.5</v>
      </c>
      <c r="AL14" s="41" cm="1">
        <f t="array" ref="AL14">IF(AND(AF14:AK14="AB"),"AB",SUM(AF14:AK14))</f>
        <v>47.5</v>
      </c>
      <c r="AM14" s="36">
        <v>24</v>
      </c>
      <c r="AN14" s="36">
        <v>20</v>
      </c>
      <c r="AO14" s="36">
        <v>20</v>
      </c>
      <c r="AP14" s="45">
        <v>24</v>
      </c>
      <c r="AQ14" s="42">
        <v>20</v>
      </c>
      <c r="AR14" s="42">
        <v>20</v>
      </c>
      <c r="AS14" s="42">
        <v>17</v>
      </c>
      <c r="AT14" s="42">
        <v>16</v>
      </c>
      <c r="AU14" s="42">
        <v>16</v>
      </c>
      <c r="AV14" s="42">
        <v>16</v>
      </c>
      <c r="AW14" s="43" cm="1">
        <f t="array" ref="AW14">IF(AND(AM14:AV14="AB"),"AB",AVERAGE(AM14:AV14))</f>
        <v>19.3</v>
      </c>
      <c r="AX14" s="36">
        <v>24</v>
      </c>
      <c r="AY14" s="44"/>
      <c r="AZ14" s="44"/>
    </row>
    <row r="15" spans="1:52" ht="15.6" x14ac:dyDescent="0.3">
      <c r="A15" s="29">
        <v>11</v>
      </c>
      <c r="B15" s="30">
        <v>11</v>
      </c>
      <c r="C15" s="31" t="s">
        <v>68</v>
      </c>
      <c r="D15" s="31">
        <v>1914361143</v>
      </c>
      <c r="E15" s="46" t="s">
        <v>69</v>
      </c>
      <c r="F15" s="33">
        <v>6</v>
      </c>
      <c r="G15" s="33">
        <v>6</v>
      </c>
      <c r="H15" s="33">
        <v>7</v>
      </c>
      <c r="I15" s="34" cm="1">
        <f t="array" ref="I15">IF(AND(F15:H15="AB"),"AB",SUM(F15:H15))</f>
        <v>19</v>
      </c>
      <c r="J15" s="33">
        <v>6</v>
      </c>
      <c r="K15" s="33">
        <v>6</v>
      </c>
      <c r="L15" s="33">
        <v>7</v>
      </c>
      <c r="M15" s="34" cm="1">
        <f t="array" ref="M15">IF(AND(J15:L15="AB"),"AB",SUM(J15:L15))</f>
        <v>19</v>
      </c>
      <c r="N15" s="35"/>
      <c r="O15" s="31"/>
      <c r="P15" s="31"/>
      <c r="Q15" s="31"/>
      <c r="R15" s="31"/>
      <c r="S15" s="31"/>
      <c r="T15" s="36"/>
      <c r="U15" s="45"/>
      <c r="V15" s="42"/>
      <c r="W15" s="42"/>
      <c r="X15" s="42"/>
      <c r="Y15" s="39" cm="1">
        <f t="array" ref="Y15">IF(AND(U15:X15="AB"),"AB",SUM(U15:X15))</f>
        <v>0</v>
      </c>
      <c r="Z15" s="40" t="str">
        <f t="shared" si="0"/>
        <v/>
      </c>
      <c r="AA15" s="40" t="str">
        <f t="shared" si="1"/>
        <v/>
      </c>
      <c r="AB15" s="40" t="str">
        <f t="shared" si="2"/>
        <v/>
      </c>
      <c r="AC15" s="40" t="str">
        <f t="shared" si="3"/>
        <v/>
      </c>
      <c r="AD15" s="40" t="str">
        <f t="shared" si="4"/>
        <v/>
      </c>
      <c r="AE15" s="40" t="str">
        <f t="shared" si="5"/>
        <v/>
      </c>
      <c r="AF15" s="36">
        <v>8</v>
      </c>
      <c r="AG15" s="36">
        <v>7</v>
      </c>
      <c r="AH15" s="36">
        <v>7</v>
      </c>
      <c r="AI15" s="45">
        <v>0</v>
      </c>
      <c r="AJ15" s="42">
        <v>8</v>
      </c>
      <c r="AK15" s="42">
        <v>4</v>
      </c>
      <c r="AL15" s="41" cm="1">
        <f t="array" ref="AL15">IF(AND(AF15:AK15="AB"),"AB",SUM(AF15:AK15))</f>
        <v>34</v>
      </c>
      <c r="AM15" s="36">
        <v>15</v>
      </c>
      <c r="AN15" s="36">
        <v>19</v>
      </c>
      <c r="AO15" s="36">
        <v>14</v>
      </c>
      <c r="AP15" s="45">
        <v>15</v>
      </c>
      <c r="AQ15" s="42">
        <v>19</v>
      </c>
      <c r="AR15" s="42">
        <v>14</v>
      </c>
      <c r="AS15" s="42">
        <v>19</v>
      </c>
      <c r="AT15" s="42">
        <v>16</v>
      </c>
      <c r="AU15" s="42">
        <v>16</v>
      </c>
      <c r="AV15" s="42">
        <v>16</v>
      </c>
      <c r="AW15" s="43" cm="1">
        <f t="array" ref="AW15">IF(AND(AM15:AV15="AB"),"AB",AVERAGE(AM15:AV15))</f>
        <v>16.3</v>
      </c>
      <c r="AX15" s="36">
        <v>15</v>
      </c>
      <c r="AY15" s="44"/>
      <c r="AZ15" s="44"/>
    </row>
    <row r="16" spans="1:52" ht="15.6" x14ac:dyDescent="0.3">
      <c r="A16" s="29">
        <v>12</v>
      </c>
      <c r="B16" s="30">
        <v>12</v>
      </c>
      <c r="C16" s="31" t="s">
        <v>70</v>
      </c>
      <c r="D16" s="31">
        <v>1914361144</v>
      </c>
      <c r="E16" s="46" t="s">
        <v>71</v>
      </c>
      <c r="F16" s="33">
        <v>5</v>
      </c>
      <c r="G16" s="33">
        <v>6</v>
      </c>
      <c r="H16" s="33">
        <v>7</v>
      </c>
      <c r="I16" s="34" cm="1">
        <f t="array" ref="I16">IF(AND(F16:H16="AB"),"AB",SUM(F16:H16))</f>
        <v>18</v>
      </c>
      <c r="J16" s="33">
        <v>5</v>
      </c>
      <c r="K16" s="33">
        <v>6</v>
      </c>
      <c r="L16" s="33">
        <v>7</v>
      </c>
      <c r="M16" s="34" cm="1">
        <f t="array" ref="M16">IF(AND(J16:L16="AB"),"AB",SUM(J16:L16))</f>
        <v>18</v>
      </c>
      <c r="N16" s="35"/>
      <c r="O16" s="31"/>
      <c r="P16" s="31"/>
      <c r="Q16" s="31"/>
      <c r="R16" s="31"/>
      <c r="S16" s="31"/>
      <c r="T16" s="36"/>
      <c r="U16" s="45"/>
      <c r="V16" s="42"/>
      <c r="W16" s="42"/>
      <c r="X16" s="42"/>
      <c r="Y16" s="39" cm="1">
        <f t="array" ref="Y16">IF(AND(U16:X16="AB"),"AB",SUM(U16:X16))</f>
        <v>0</v>
      </c>
      <c r="Z16" s="40" t="str">
        <f t="shared" si="0"/>
        <v/>
      </c>
      <c r="AA16" s="40" t="str">
        <f t="shared" si="1"/>
        <v/>
      </c>
      <c r="AB16" s="40" t="str">
        <f t="shared" si="2"/>
        <v/>
      </c>
      <c r="AC16" s="40" t="str">
        <f t="shared" si="3"/>
        <v/>
      </c>
      <c r="AD16" s="40" t="str">
        <f t="shared" si="4"/>
        <v/>
      </c>
      <c r="AE16" s="40" t="str">
        <f t="shared" si="5"/>
        <v/>
      </c>
      <c r="AF16" s="36">
        <v>7</v>
      </c>
      <c r="AG16" s="36">
        <v>5</v>
      </c>
      <c r="AH16" s="36">
        <v>6</v>
      </c>
      <c r="AI16" s="45">
        <v>5</v>
      </c>
      <c r="AJ16" s="42">
        <v>10</v>
      </c>
      <c r="AK16" s="42">
        <v>7</v>
      </c>
      <c r="AL16" s="41" cm="1">
        <f t="array" ref="AL16">IF(AND(AF16:AK16="AB"),"AB",SUM(AF16:AK16))</f>
        <v>40</v>
      </c>
      <c r="AM16" s="36">
        <v>19</v>
      </c>
      <c r="AN16" s="36">
        <v>18</v>
      </c>
      <c r="AO16" s="36">
        <v>23</v>
      </c>
      <c r="AP16" s="45">
        <v>19</v>
      </c>
      <c r="AQ16" s="42">
        <v>18</v>
      </c>
      <c r="AR16" s="42">
        <v>23</v>
      </c>
      <c r="AS16" s="42">
        <v>20</v>
      </c>
      <c r="AT16" s="42">
        <v>20</v>
      </c>
      <c r="AU16" s="42">
        <v>20</v>
      </c>
      <c r="AV16" s="42">
        <v>20</v>
      </c>
      <c r="AW16" s="43" cm="1">
        <f t="array" ref="AW16">IF(AND(AM16:AV16="AB"),"AB",AVERAGE(AM16:AV16))</f>
        <v>20</v>
      </c>
      <c r="AX16" s="36">
        <v>19</v>
      </c>
      <c r="AY16" s="44"/>
      <c r="AZ16" s="44"/>
    </row>
    <row r="17" spans="1:52" ht="15.6" x14ac:dyDescent="0.3">
      <c r="A17" s="29">
        <v>13</v>
      </c>
      <c r="B17" s="30">
        <v>13</v>
      </c>
      <c r="C17" s="31" t="s">
        <v>72</v>
      </c>
      <c r="D17" s="31">
        <v>1914361145</v>
      </c>
      <c r="E17" s="46" t="s">
        <v>73</v>
      </c>
      <c r="F17" s="33">
        <v>4</v>
      </c>
      <c r="G17" s="33">
        <v>6</v>
      </c>
      <c r="H17" s="33">
        <v>7</v>
      </c>
      <c r="I17" s="34" cm="1">
        <f t="array" ref="I17">IF(AND(F17:H17="AB"),"AB",SUM(F17:H17))</f>
        <v>17</v>
      </c>
      <c r="J17" s="33">
        <v>4</v>
      </c>
      <c r="K17" s="33">
        <v>6</v>
      </c>
      <c r="L17" s="33">
        <v>7</v>
      </c>
      <c r="M17" s="34" cm="1">
        <f t="array" ref="M17">IF(AND(J17:L17="AB"),"AB",SUM(J17:L17))</f>
        <v>17</v>
      </c>
      <c r="N17" s="35"/>
      <c r="O17" s="31"/>
      <c r="P17" s="31"/>
      <c r="Q17" s="31"/>
      <c r="R17" s="31"/>
      <c r="S17" s="31"/>
      <c r="T17" s="36"/>
      <c r="U17" s="45"/>
      <c r="V17" s="42"/>
      <c r="W17" s="42"/>
      <c r="X17" s="42"/>
      <c r="Y17" s="39" cm="1">
        <f t="array" ref="Y17">IF(AND(U17:X17="AB"),"AB",SUM(U17:X17))</f>
        <v>0</v>
      </c>
      <c r="Z17" s="40" t="str">
        <f t="shared" si="0"/>
        <v/>
      </c>
      <c r="AA17" s="40" t="str">
        <f t="shared" si="1"/>
        <v/>
      </c>
      <c r="AB17" s="40" t="str">
        <f t="shared" si="2"/>
        <v/>
      </c>
      <c r="AC17" s="40" t="str">
        <f t="shared" si="3"/>
        <v/>
      </c>
      <c r="AD17" s="40" t="str">
        <f t="shared" si="4"/>
        <v/>
      </c>
      <c r="AE17" s="40" t="str">
        <f t="shared" si="5"/>
        <v/>
      </c>
      <c r="AF17" s="36">
        <v>9.5</v>
      </c>
      <c r="AG17" s="36">
        <v>10</v>
      </c>
      <c r="AH17" s="36">
        <v>10</v>
      </c>
      <c r="AI17" s="45">
        <v>8.5</v>
      </c>
      <c r="AJ17" s="42">
        <v>10</v>
      </c>
      <c r="AK17" s="42">
        <v>8</v>
      </c>
      <c r="AL17" s="41" cm="1">
        <f t="array" ref="AL17">IF(AND(AF17:AK17="AB"),"AB",SUM(AF17:AK17))</f>
        <v>56</v>
      </c>
      <c r="AM17" s="36">
        <v>17</v>
      </c>
      <c r="AN17" s="36">
        <v>19</v>
      </c>
      <c r="AO17" s="36">
        <v>18</v>
      </c>
      <c r="AP17" s="45">
        <v>17</v>
      </c>
      <c r="AQ17" s="42">
        <v>19</v>
      </c>
      <c r="AR17" s="42">
        <v>18</v>
      </c>
      <c r="AS17" s="42">
        <v>14</v>
      </c>
      <c r="AT17" s="42">
        <v>19</v>
      </c>
      <c r="AU17" s="42">
        <v>19</v>
      </c>
      <c r="AV17" s="42">
        <v>19</v>
      </c>
      <c r="AW17" s="43" cm="1">
        <f t="array" ref="AW17">IF(AND(AM17:AV17="AB"),"AB",AVERAGE(AM17:AV17))</f>
        <v>17.899999999999999</v>
      </c>
      <c r="AX17" s="36">
        <v>17</v>
      </c>
      <c r="AY17" s="44"/>
      <c r="AZ17" s="44"/>
    </row>
    <row r="18" spans="1:52" ht="15.6" x14ac:dyDescent="0.3">
      <c r="A18" s="29">
        <v>14</v>
      </c>
      <c r="B18" s="30">
        <v>14</v>
      </c>
      <c r="C18" s="31" t="s">
        <v>74</v>
      </c>
      <c r="D18" s="31">
        <v>1914361146</v>
      </c>
      <c r="E18" s="46" t="s">
        <v>75</v>
      </c>
      <c r="F18" s="33">
        <v>3</v>
      </c>
      <c r="G18" s="33">
        <v>6</v>
      </c>
      <c r="H18" s="33">
        <v>7</v>
      </c>
      <c r="I18" s="34" cm="1">
        <f t="array" ref="I18">IF(AND(F18:H18="AB"),"AB",SUM(F18:H18))</f>
        <v>16</v>
      </c>
      <c r="J18" s="33">
        <v>3</v>
      </c>
      <c r="K18" s="33">
        <v>6</v>
      </c>
      <c r="L18" s="33">
        <v>7</v>
      </c>
      <c r="M18" s="34" cm="1">
        <f t="array" ref="M18">IF(AND(J18:L18="AB"),"AB",SUM(J18:L18))</f>
        <v>16</v>
      </c>
      <c r="N18" s="35"/>
      <c r="O18" s="31"/>
      <c r="P18" s="31"/>
      <c r="Q18" s="31"/>
      <c r="R18" s="31"/>
      <c r="S18" s="31"/>
      <c r="T18" s="36"/>
      <c r="U18" s="45"/>
      <c r="V18" s="42"/>
      <c r="W18" s="42"/>
      <c r="X18" s="42"/>
      <c r="Y18" s="39" cm="1">
        <f t="array" ref="Y18">IF(AND(U18:X18="AB"),"AB",SUM(U18:X18))</f>
        <v>0</v>
      </c>
      <c r="Z18" s="40" t="str">
        <f t="shared" si="0"/>
        <v/>
      </c>
      <c r="AA18" s="40" t="str">
        <f t="shared" si="1"/>
        <v/>
      </c>
      <c r="AB18" s="40" t="str">
        <f t="shared" si="2"/>
        <v/>
      </c>
      <c r="AC18" s="40" t="str">
        <f t="shared" si="3"/>
        <v/>
      </c>
      <c r="AD18" s="40" t="str">
        <f t="shared" si="4"/>
        <v/>
      </c>
      <c r="AE18" s="40" t="str">
        <f t="shared" si="5"/>
        <v/>
      </c>
      <c r="AF18" s="36">
        <v>2.5</v>
      </c>
      <c r="AG18" s="36">
        <v>10</v>
      </c>
      <c r="AH18" s="36">
        <v>3.5</v>
      </c>
      <c r="AI18" s="45">
        <v>8.5</v>
      </c>
      <c r="AJ18" s="42">
        <v>5.5</v>
      </c>
      <c r="AK18" s="42">
        <v>4</v>
      </c>
      <c r="AL18" s="41" cm="1">
        <f t="array" ref="AL18">IF(AND(AF18:AK18="AB"),"AB",SUM(AF18:AK18))</f>
        <v>34</v>
      </c>
      <c r="AM18" s="36">
        <v>17</v>
      </c>
      <c r="AN18" s="36">
        <v>18</v>
      </c>
      <c r="AO18" s="36">
        <v>21</v>
      </c>
      <c r="AP18" s="45">
        <v>17</v>
      </c>
      <c r="AQ18" s="42">
        <v>18</v>
      </c>
      <c r="AR18" s="42">
        <v>21</v>
      </c>
      <c r="AS18" s="42">
        <v>23</v>
      </c>
      <c r="AT18" s="42">
        <v>19</v>
      </c>
      <c r="AU18" s="42">
        <v>19</v>
      </c>
      <c r="AV18" s="42">
        <v>19</v>
      </c>
      <c r="AW18" s="43" cm="1">
        <f t="array" ref="AW18">IF(AND(AM18:AV18="AB"),"AB",AVERAGE(AM18:AV18))</f>
        <v>19.2</v>
      </c>
      <c r="AX18" s="36">
        <v>17</v>
      </c>
      <c r="AY18" s="44"/>
      <c r="AZ18" s="44"/>
    </row>
    <row r="19" spans="1:52" ht="15.6" x14ac:dyDescent="0.3">
      <c r="A19" s="29">
        <v>15</v>
      </c>
      <c r="B19" s="30">
        <v>15</v>
      </c>
      <c r="C19" s="31" t="s">
        <v>76</v>
      </c>
      <c r="D19" s="31">
        <v>1914361147</v>
      </c>
      <c r="E19" s="46" t="s">
        <v>77</v>
      </c>
      <c r="F19" s="33">
        <v>2</v>
      </c>
      <c r="G19" s="33">
        <v>6</v>
      </c>
      <c r="H19" s="33">
        <v>7</v>
      </c>
      <c r="I19" s="34" cm="1">
        <f t="array" ref="I19">IF(AND(F19:H19="AB"),"AB",SUM(F19:H19))</f>
        <v>15</v>
      </c>
      <c r="J19" s="33">
        <v>2</v>
      </c>
      <c r="K19" s="33">
        <v>6</v>
      </c>
      <c r="L19" s="33">
        <v>7</v>
      </c>
      <c r="M19" s="34" cm="1">
        <f t="array" ref="M19">IF(AND(J19:L19="AB"),"AB",SUM(J19:L19))</f>
        <v>15</v>
      </c>
      <c r="N19" s="35"/>
      <c r="O19" s="31"/>
      <c r="P19" s="31"/>
      <c r="Q19" s="31"/>
      <c r="R19" s="31"/>
      <c r="S19" s="31"/>
      <c r="T19" s="36"/>
      <c r="U19" s="45"/>
      <c r="V19" s="42"/>
      <c r="W19" s="42"/>
      <c r="X19" s="42"/>
      <c r="Y19" s="39" cm="1">
        <f t="array" ref="Y19">IF(AND(U19:X19="AB"),"AB",SUM(U19:X19))</f>
        <v>0</v>
      </c>
      <c r="Z19" s="40" t="str">
        <f t="shared" si="0"/>
        <v/>
      </c>
      <c r="AA19" s="40" t="str">
        <f t="shared" si="1"/>
        <v/>
      </c>
      <c r="AB19" s="40" t="str">
        <f t="shared" si="2"/>
        <v/>
      </c>
      <c r="AC19" s="40" t="str">
        <f t="shared" si="3"/>
        <v/>
      </c>
      <c r="AD19" s="40" t="str">
        <f t="shared" si="4"/>
        <v/>
      </c>
      <c r="AE19" s="40" t="str">
        <f t="shared" si="5"/>
        <v/>
      </c>
      <c r="AF19" s="36">
        <v>8</v>
      </c>
      <c r="AG19" s="36">
        <v>5</v>
      </c>
      <c r="AH19" s="36">
        <v>3</v>
      </c>
      <c r="AI19" s="45">
        <v>6</v>
      </c>
      <c r="AJ19" s="42">
        <v>8</v>
      </c>
      <c r="AK19" s="42">
        <v>8</v>
      </c>
      <c r="AL19" s="41" cm="1">
        <f t="array" ref="AL19">IF(AND(AF19:AK19="AB"),"AB",SUM(AF19:AK19))</f>
        <v>38</v>
      </c>
      <c r="AM19" s="36">
        <v>13</v>
      </c>
      <c r="AN19" s="36">
        <v>14</v>
      </c>
      <c r="AO19" s="36">
        <v>22</v>
      </c>
      <c r="AP19" s="45">
        <v>13</v>
      </c>
      <c r="AQ19" s="42">
        <v>14</v>
      </c>
      <c r="AR19" s="42">
        <v>22</v>
      </c>
      <c r="AS19" s="42">
        <v>18</v>
      </c>
      <c r="AT19" s="42">
        <v>19</v>
      </c>
      <c r="AU19" s="42">
        <v>19</v>
      </c>
      <c r="AV19" s="42">
        <v>19</v>
      </c>
      <c r="AW19" s="43" cm="1">
        <f t="array" ref="AW19">IF(AND(AM19:AV19="AB"),"AB",AVERAGE(AM19:AV19))</f>
        <v>17.3</v>
      </c>
      <c r="AX19" s="36">
        <v>13</v>
      </c>
      <c r="AY19" s="44"/>
      <c r="AZ19" s="44"/>
    </row>
    <row r="20" spans="1:52" ht="15.6" x14ac:dyDescent="0.3">
      <c r="A20" s="29">
        <v>16</v>
      </c>
      <c r="B20" s="30">
        <v>16</v>
      </c>
      <c r="C20" s="31" t="s">
        <v>78</v>
      </c>
      <c r="D20" s="31">
        <v>1914361148</v>
      </c>
      <c r="E20" s="46" t="s">
        <v>79</v>
      </c>
      <c r="F20" s="33">
        <v>1</v>
      </c>
      <c r="G20" s="33">
        <v>6</v>
      </c>
      <c r="H20" s="33">
        <v>7</v>
      </c>
      <c r="I20" s="34" cm="1">
        <f t="array" ref="I20">IF(AND(F20:H20="AB"),"AB",SUM(F20:H20))</f>
        <v>14</v>
      </c>
      <c r="J20" s="33">
        <v>1</v>
      </c>
      <c r="K20" s="33">
        <v>6</v>
      </c>
      <c r="L20" s="33">
        <v>7</v>
      </c>
      <c r="M20" s="34" cm="1">
        <f t="array" ref="M20">IF(AND(J20:L20="AB"),"AB",SUM(J20:L20))</f>
        <v>14</v>
      </c>
      <c r="N20" s="35"/>
      <c r="O20" s="31"/>
      <c r="P20" s="31"/>
      <c r="Q20" s="31"/>
      <c r="R20" s="31"/>
      <c r="S20" s="31"/>
      <c r="T20" s="36"/>
      <c r="U20" s="45"/>
      <c r="V20" s="42"/>
      <c r="W20" s="42"/>
      <c r="X20" s="42"/>
      <c r="Y20" s="39" cm="1">
        <f t="array" ref="Y20">IF(AND(U20:X20="AB"),"AB",SUM(U20:X20))</f>
        <v>0</v>
      </c>
      <c r="Z20" s="40" t="str">
        <f t="shared" si="0"/>
        <v/>
      </c>
      <c r="AA20" s="40" t="str">
        <f t="shared" si="1"/>
        <v/>
      </c>
      <c r="AB20" s="40" t="str">
        <f t="shared" si="2"/>
        <v/>
      </c>
      <c r="AC20" s="40" t="str">
        <f t="shared" si="3"/>
        <v/>
      </c>
      <c r="AD20" s="40" t="str">
        <f t="shared" si="4"/>
        <v/>
      </c>
      <c r="AE20" s="40" t="str">
        <f t="shared" si="5"/>
        <v/>
      </c>
      <c r="AF20" s="36">
        <v>1</v>
      </c>
      <c r="AG20" s="36">
        <v>3.5</v>
      </c>
      <c r="AH20" s="36">
        <v>5</v>
      </c>
      <c r="AI20" s="45">
        <v>8.5</v>
      </c>
      <c r="AJ20" s="42">
        <v>8</v>
      </c>
      <c r="AK20" s="42">
        <v>5.5</v>
      </c>
      <c r="AL20" s="41" cm="1">
        <f t="array" ref="AL20">IF(AND(AF20:AK20="AB"),"AB",SUM(AF20:AK20))</f>
        <v>31.5</v>
      </c>
      <c r="AM20" s="36">
        <v>20</v>
      </c>
      <c r="AN20" s="36">
        <v>20</v>
      </c>
      <c r="AO20" s="36">
        <v>16</v>
      </c>
      <c r="AP20" s="45">
        <v>20</v>
      </c>
      <c r="AQ20" s="42">
        <v>20</v>
      </c>
      <c r="AR20" s="42">
        <v>16</v>
      </c>
      <c r="AS20" s="42">
        <v>21</v>
      </c>
      <c r="AT20" s="42">
        <v>20</v>
      </c>
      <c r="AU20" s="42">
        <v>20</v>
      </c>
      <c r="AV20" s="42">
        <v>20</v>
      </c>
      <c r="AW20" s="43" cm="1">
        <f t="array" ref="AW20">IF(AND(AM20:AV20="AB"),"AB",AVERAGE(AM20:AV20))</f>
        <v>19.3</v>
      </c>
      <c r="AX20" s="36">
        <v>20</v>
      </c>
      <c r="AY20" s="44"/>
      <c r="AZ20" s="44"/>
    </row>
    <row r="21" spans="1:52" ht="15.6" x14ac:dyDescent="0.3">
      <c r="A21" s="29">
        <v>17</v>
      </c>
      <c r="B21" s="30">
        <v>17</v>
      </c>
      <c r="C21" s="31" t="s">
        <v>80</v>
      </c>
      <c r="D21" s="31">
        <v>1914361149</v>
      </c>
      <c r="E21" s="46" t="s">
        <v>81</v>
      </c>
      <c r="F21" s="33">
        <v>0</v>
      </c>
      <c r="G21" s="33">
        <v>6</v>
      </c>
      <c r="H21" s="33">
        <v>7</v>
      </c>
      <c r="I21" s="34" cm="1">
        <f t="array" ref="I21">IF(AND(F21:H21="AB"),"AB",SUM(F21:H21))</f>
        <v>13</v>
      </c>
      <c r="J21" s="33">
        <v>0</v>
      </c>
      <c r="K21" s="33">
        <v>6</v>
      </c>
      <c r="L21" s="33">
        <v>7</v>
      </c>
      <c r="M21" s="34" cm="1">
        <f t="array" ref="M21">IF(AND(J21:L21="AB"),"AB",SUM(J21:L21))</f>
        <v>13</v>
      </c>
      <c r="N21" s="35"/>
      <c r="O21" s="31"/>
      <c r="P21" s="31"/>
      <c r="Q21" s="31"/>
      <c r="R21" s="31"/>
      <c r="S21" s="31"/>
      <c r="T21" s="36"/>
      <c r="U21" s="45"/>
      <c r="V21" s="42"/>
      <c r="W21" s="42"/>
      <c r="X21" s="42"/>
      <c r="Y21" s="39" cm="1">
        <f t="array" ref="Y21">IF(AND(U21:X21="AB"),"AB",SUM(U21:X21))</f>
        <v>0</v>
      </c>
      <c r="Z21" s="40" t="str">
        <f t="shared" si="0"/>
        <v/>
      </c>
      <c r="AA21" s="40" t="str">
        <f t="shared" si="1"/>
        <v/>
      </c>
      <c r="AB21" s="40" t="str">
        <f t="shared" si="2"/>
        <v/>
      </c>
      <c r="AC21" s="40" t="str">
        <f t="shared" si="3"/>
        <v/>
      </c>
      <c r="AD21" s="40" t="str">
        <f t="shared" si="4"/>
        <v/>
      </c>
      <c r="AE21" s="40" t="str">
        <f t="shared" si="5"/>
        <v/>
      </c>
      <c r="AF21" s="36">
        <v>9</v>
      </c>
      <c r="AG21" s="36">
        <v>10</v>
      </c>
      <c r="AH21" s="36">
        <v>9</v>
      </c>
      <c r="AI21" s="45">
        <v>8</v>
      </c>
      <c r="AJ21" s="42">
        <v>9</v>
      </c>
      <c r="AK21" s="42">
        <v>6.5</v>
      </c>
      <c r="AL21" s="41" cm="1">
        <f t="array" ref="AL21">IF(AND(AF21:AK21="AB"),"AB",SUM(AF21:AK21))</f>
        <v>51.5</v>
      </c>
      <c r="AM21" s="36">
        <v>24</v>
      </c>
      <c r="AN21" s="36">
        <v>21</v>
      </c>
      <c r="AO21" s="36">
        <v>16</v>
      </c>
      <c r="AP21" s="45">
        <v>24</v>
      </c>
      <c r="AQ21" s="42">
        <v>21</v>
      </c>
      <c r="AR21" s="42">
        <v>16</v>
      </c>
      <c r="AS21" s="42">
        <v>22</v>
      </c>
      <c r="AT21" s="42">
        <v>21</v>
      </c>
      <c r="AU21" s="42">
        <v>21</v>
      </c>
      <c r="AV21" s="42">
        <v>21</v>
      </c>
      <c r="AW21" s="43" cm="1">
        <f t="array" ref="AW21">IF(AND(AM21:AV21="AB"),"AB",AVERAGE(AM21:AV21))</f>
        <v>20.7</v>
      </c>
      <c r="AX21" s="36">
        <v>24</v>
      </c>
      <c r="AY21" s="44"/>
      <c r="AZ21" s="44"/>
    </row>
    <row r="22" spans="1:52" ht="15.6" x14ac:dyDescent="0.3">
      <c r="A22" s="29">
        <v>18</v>
      </c>
      <c r="B22" s="30">
        <v>18</v>
      </c>
      <c r="C22" s="31" t="s">
        <v>82</v>
      </c>
      <c r="D22" s="31">
        <v>1914361150</v>
      </c>
      <c r="E22" s="46" t="s">
        <v>83</v>
      </c>
      <c r="F22" s="33" t="s">
        <v>48</v>
      </c>
      <c r="G22" s="33">
        <v>6</v>
      </c>
      <c r="H22" s="33">
        <v>7</v>
      </c>
      <c r="I22" s="34" cm="1">
        <f t="array" ref="I22">IF(AND(F22:H22="AB"),"AB",SUM(F22:H22))</f>
        <v>13</v>
      </c>
      <c r="J22" s="33" t="s">
        <v>48</v>
      </c>
      <c r="K22" s="33">
        <v>6</v>
      </c>
      <c r="L22" s="33">
        <v>7</v>
      </c>
      <c r="M22" s="34" cm="1">
        <f t="array" ref="M22">IF(AND(J22:L22="AB"),"AB",SUM(J22:L22))</f>
        <v>13</v>
      </c>
      <c r="N22" s="35"/>
      <c r="O22" s="31"/>
      <c r="P22" s="31"/>
      <c r="Q22" s="31"/>
      <c r="R22" s="31"/>
      <c r="S22" s="31"/>
      <c r="T22" s="36"/>
      <c r="U22" s="45"/>
      <c r="V22" s="42"/>
      <c r="W22" s="42"/>
      <c r="X22" s="42"/>
      <c r="Y22" s="39" cm="1">
        <f t="array" ref="Y22">IF(AND(U22:X22="AB"),"AB",SUM(U22:X22))</f>
        <v>0</v>
      </c>
      <c r="Z22" s="40" t="str">
        <f t="shared" si="0"/>
        <v/>
      </c>
      <c r="AA22" s="40" t="str">
        <f t="shared" si="1"/>
        <v/>
      </c>
      <c r="AB22" s="40" t="str">
        <f t="shared" si="2"/>
        <v/>
      </c>
      <c r="AC22" s="40" t="str">
        <f t="shared" si="3"/>
        <v/>
      </c>
      <c r="AD22" s="40" t="str">
        <f t="shared" si="4"/>
        <v/>
      </c>
      <c r="AE22" s="40" t="str">
        <f t="shared" si="5"/>
        <v/>
      </c>
      <c r="AF22" s="36">
        <v>8</v>
      </c>
      <c r="AG22" s="36">
        <v>9</v>
      </c>
      <c r="AH22" s="36">
        <v>3</v>
      </c>
      <c r="AI22" s="45">
        <v>7</v>
      </c>
      <c r="AJ22" s="42">
        <v>8</v>
      </c>
      <c r="AK22" s="42">
        <v>7</v>
      </c>
      <c r="AL22" s="41" cm="1">
        <f t="array" ref="AL22">IF(AND(AF22:AK22="AB"),"AB",SUM(AF22:AK22))</f>
        <v>42</v>
      </c>
      <c r="AM22" s="36">
        <v>23</v>
      </c>
      <c r="AN22" s="36">
        <v>20</v>
      </c>
      <c r="AO22" s="36">
        <v>20</v>
      </c>
      <c r="AP22" s="45">
        <v>23</v>
      </c>
      <c r="AQ22" s="42">
        <v>20</v>
      </c>
      <c r="AR22" s="42">
        <v>20</v>
      </c>
      <c r="AS22" s="42">
        <v>24</v>
      </c>
      <c r="AT22" s="42">
        <v>21</v>
      </c>
      <c r="AU22" s="42">
        <v>21</v>
      </c>
      <c r="AV22" s="42">
        <v>21</v>
      </c>
      <c r="AW22" s="43" cm="1">
        <f t="array" ref="AW22">IF(AND(AM22:AV22="AB"),"AB",AVERAGE(AM22:AV22))</f>
        <v>21.3</v>
      </c>
      <c r="AX22" s="36">
        <v>23</v>
      </c>
      <c r="AY22" s="44"/>
      <c r="AZ22" s="44"/>
    </row>
    <row r="23" spans="1:52" ht="15.6" x14ac:dyDescent="0.3">
      <c r="A23" s="29">
        <v>19</v>
      </c>
      <c r="B23" s="30">
        <v>19</v>
      </c>
      <c r="C23" s="31" t="s">
        <v>84</v>
      </c>
      <c r="D23" s="31">
        <v>1914361151</v>
      </c>
      <c r="E23" s="46" t="s">
        <v>85</v>
      </c>
      <c r="F23" s="33">
        <v>7</v>
      </c>
      <c r="G23" s="33">
        <v>6</v>
      </c>
      <c r="H23" s="33">
        <v>7</v>
      </c>
      <c r="I23" s="34" cm="1">
        <f t="array" ref="I23">IF(AND(F23:H23="AB"),"AB",SUM(F23:H23))</f>
        <v>20</v>
      </c>
      <c r="J23" s="33">
        <v>7</v>
      </c>
      <c r="K23" s="33">
        <v>6</v>
      </c>
      <c r="L23" s="33">
        <v>7</v>
      </c>
      <c r="M23" s="34" cm="1">
        <f t="array" ref="M23">IF(AND(J23:L23="AB"),"AB",SUM(J23:L23))</f>
        <v>20</v>
      </c>
      <c r="N23" s="35"/>
      <c r="O23" s="31"/>
      <c r="P23" s="31"/>
      <c r="Q23" s="31"/>
      <c r="R23" s="31"/>
      <c r="S23" s="31"/>
      <c r="T23" s="36"/>
      <c r="U23" s="45"/>
      <c r="V23" s="42"/>
      <c r="W23" s="42"/>
      <c r="X23" s="42"/>
      <c r="Y23" s="39" cm="1">
        <f t="array" ref="Y23">IF(AND(U23:X23="AB"),"AB",SUM(U23:X23))</f>
        <v>0</v>
      </c>
      <c r="Z23" s="40" t="str">
        <f t="shared" si="0"/>
        <v/>
      </c>
      <c r="AA23" s="40" t="str">
        <f t="shared" si="1"/>
        <v/>
      </c>
      <c r="AB23" s="40" t="str">
        <f t="shared" si="2"/>
        <v/>
      </c>
      <c r="AC23" s="40" t="str">
        <f t="shared" si="3"/>
        <v/>
      </c>
      <c r="AD23" s="40" t="str">
        <f t="shared" si="4"/>
        <v/>
      </c>
      <c r="AE23" s="40" t="str">
        <f t="shared" si="5"/>
        <v/>
      </c>
      <c r="AF23" s="36">
        <v>5.5</v>
      </c>
      <c r="AG23" s="36">
        <v>9</v>
      </c>
      <c r="AH23" s="36">
        <v>4</v>
      </c>
      <c r="AI23" s="45">
        <v>5.5</v>
      </c>
      <c r="AJ23" s="42">
        <v>7.5</v>
      </c>
      <c r="AK23" s="42">
        <v>5</v>
      </c>
      <c r="AL23" s="41" cm="1">
        <f t="array" ref="AL23">IF(AND(AF23:AK23="AB"),"AB",SUM(AF23:AK23))</f>
        <v>36.5</v>
      </c>
      <c r="AM23" s="36">
        <v>22</v>
      </c>
      <c r="AN23" s="36">
        <v>20</v>
      </c>
      <c r="AO23" s="36">
        <v>19</v>
      </c>
      <c r="AP23" s="45">
        <v>22</v>
      </c>
      <c r="AQ23" s="42">
        <v>20</v>
      </c>
      <c r="AR23" s="42">
        <v>19</v>
      </c>
      <c r="AS23" s="42">
        <v>18</v>
      </c>
      <c r="AT23" s="42">
        <v>15</v>
      </c>
      <c r="AU23" s="42">
        <v>15</v>
      </c>
      <c r="AV23" s="42">
        <v>15</v>
      </c>
      <c r="AW23" s="43" cm="1">
        <f t="array" ref="AW23">IF(AND(AM23:AV23="AB"),"AB",AVERAGE(AM23:AV23))</f>
        <v>18.5</v>
      </c>
      <c r="AX23" s="36">
        <v>22</v>
      </c>
      <c r="AY23" s="44"/>
      <c r="AZ23" s="44"/>
    </row>
    <row r="24" spans="1:52" ht="15.6" x14ac:dyDescent="0.3">
      <c r="A24" s="29">
        <v>20</v>
      </c>
      <c r="B24" s="30">
        <v>20</v>
      </c>
      <c r="C24" s="31" t="s">
        <v>86</v>
      </c>
      <c r="D24" s="31">
        <v>1914361152</v>
      </c>
      <c r="E24" s="46" t="s">
        <v>87</v>
      </c>
      <c r="F24" s="33">
        <v>6</v>
      </c>
      <c r="G24" s="33">
        <v>6</v>
      </c>
      <c r="H24" s="33">
        <v>7</v>
      </c>
      <c r="I24" s="34" cm="1">
        <f t="array" ref="I24">IF(AND(F24:H24="AB"),"AB",SUM(F24:H24))</f>
        <v>19</v>
      </c>
      <c r="J24" s="33">
        <v>6</v>
      </c>
      <c r="K24" s="33">
        <v>6</v>
      </c>
      <c r="L24" s="33">
        <v>7</v>
      </c>
      <c r="M24" s="34" cm="1">
        <f t="array" ref="M24">IF(AND(J24:L24="AB"),"AB",SUM(J24:L24))</f>
        <v>19</v>
      </c>
      <c r="N24" s="35"/>
      <c r="O24" s="31"/>
      <c r="P24" s="31"/>
      <c r="Q24" s="31"/>
      <c r="R24" s="31"/>
      <c r="S24" s="31"/>
      <c r="T24" s="36"/>
      <c r="U24" s="45"/>
      <c r="V24" s="42"/>
      <c r="W24" s="42"/>
      <c r="X24" s="42"/>
      <c r="Y24" s="39" cm="1">
        <f t="array" ref="Y24">IF(AND(U24:X24="AB"),"AB",SUM(U24:X24))</f>
        <v>0</v>
      </c>
      <c r="Z24" s="40" t="str">
        <f t="shared" si="0"/>
        <v/>
      </c>
      <c r="AA24" s="40" t="str">
        <f t="shared" si="1"/>
        <v/>
      </c>
      <c r="AB24" s="40" t="str">
        <f t="shared" si="2"/>
        <v/>
      </c>
      <c r="AC24" s="40" t="str">
        <f t="shared" si="3"/>
        <v/>
      </c>
      <c r="AD24" s="40" t="str">
        <f t="shared" si="4"/>
        <v/>
      </c>
      <c r="AE24" s="40" t="str">
        <f t="shared" si="5"/>
        <v/>
      </c>
      <c r="AF24" s="36">
        <v>7</v>
      </c>
      <c r="AG24" s="36">
        <v>9</v>
      </c>
      <c r="AH24" s="36">
        <v>6</v>
      </c>
      <c r="AI24" s="45">
        <v>7</v>
      </c>
      <c r="AJ24" s="42">
        <v>6</v>
      </c>
      <c r="AK24" s="42">
        <v>5</v>
      </c>
      <c r="AL24" s="41" cm="1">
        <f t="array" ref="AL24">IF(AND(AF24:AK24="AB"),"AB",SUM(AF24:AK24))</f>
        <v>40</v>
      </c>
      <c r="AM24" s="36">
        <v>18</v>
      </c>
      <c r="AN24" s="36">
        <v>18</v>
      </c>
      <c r="AO24" s="36">
        <v>19</v>
      </c>
      <c r="AP24" s="45">
        <v>18</v>
      </c>
      <c r="AQ24" s="42">
        <v>18</v>
      </c>
      <c r="AR24" s="42">
        <v>19</v>
      </c>
      <c r="AS24" s="42">
        <v>18</v>
      </c>
      <c r="AT24" s="42">
        <v>15</v>
      </c>
      <c r="AU24" s="42">
        <v>15</v>
      </c>
      <c r="AV24" s="42">
        <v>15</v>
      </c>
      <c r="AW24" s="43" cm="1">
        <f t="array" ref="AW24">IF(AND(AM24:AV24="AB"),"AB",AVERAGE(AM24:AV24))</f>
        <v>17.3</v>
      </c>
      <c r="AX24" s="36">
        <v>18</v>
      </c>
      <c r="AY24" s="44"/>
      <c r="AZ24" s="44"/>
    </row>
    <row r="25" spans="1:52" ht="15.6" x14ac:dyDescent="0.3">
      <c r="A25" s="29">
        <v>21</v>
      </c>
      <c r="B25" s="30">
        <v>21</v>
      </c>
      <c r="C25" s="31" t="s">
        <v>88</v>
      </c>
      <c r="D25" s="31">
        <v>1914361153</v>
      </c>
      <c r="E25" s="46" t="s">
        <v>89</v>
      </c>
      <c r="F25" s="33">
        <v>5</v>
      </c>
      <c r="G25" s="33">
        <v>6</v>
      </c>
      <c r="H25" s="33">
        <v>7</v>
      </c>
      <c r="I25" s="34" cm="1">
        <f t="array" ref="I25">IF(AND(F25:H25="AB"),"AB",SUM(F25:H25))</f>
        <v>18</v>
      </c>
      <c r="J25" s="33">
        <v>5</v>
      </c>
      <c r="K25" s="33">
        <v>6</v>
      </c>
      <c r="L25" s="33">
        <v>7</v>
      </c>
      <c r="M25" s="34" cm="1">
        <f t="array" ref="M25">IF(AND(J25:L25="AB"),"AB",SUM(J25:L25))</f>
        <v>18</v>
      </c>
      <c r="N25" s="35"/>
      <c r="O25" s="31"/>
      <c r="P25" s="31"/>
      <c r="Q25" s="31"/>
      <c r="R25" s="31"/>
      <c r="S25" s="31"/>
      <c r="T25" s="36"/>
      <c r="U25" s="45"/>
      <c r="V25" s="42"/>
      <c r="W25" s="42"/>
      <c r="X25" s="42"/>
      <c r="Y25" s="39" cm="1">
        <f t="array" ref="Y25">IF(AND(U25:X25="AB"),"AB",SUM(U25:X25))</f>
        <v>0</v>
      </c>
      <c r="Z25" s="40" t="str">
        <f t="shared" si="0"/>
        <v/>
      </c>
      <c r="AA25" s="40" t="str">
        <f t="shared" si="1"/>
        <v/>
      </c>
      <c r="AB25" s="40" t="str">
        <f t="shared" si="2"/>
        <v/>
      </c>
      <c r="AC25" s="40" t="str">
        <f t="shared" si="3"/>
        <v/>
      </c>
      <c r="AD25" s="40" t="str">
        <f t="shared" si="4"/>
        <v/>
      </c>
      <c r="AE25" s="40" t="str">
        <f t="shared" si="5"/>
        <v/>
      </c>
      <c r="AF25" s="36">
        <v>9</v>
      </c>
      <c r="AG25" s="36">
        <v>9</v>
      </c>
      <c r="AH25" s="36">
        <v>8</v>
      </c>
      <c r="AI25" s="45">
        <v>8</v>
      </c>
      <c r="AJ25" s="42">
        <v>5</v>
      </c>
      <c r="AK25" s="42">
        <v>5</v>
      </c>
      <c r="AL25" s="41" cm="1">
        <f t="array" ref="AL25">IF(AND(AF25:AK25="AB"),"AB",SUM(AF25:AK25))</f>
        <v>44</v>
      </c>
      <c r="AM25" s="36">
        <v>17</v>
      </c>
      <c r="AN25" s="36">
        <v>16</v>
      </c>
      <c r="AO25" s="36">
        <v>19</v>
      </c>
      <c r="AP25" s="45">
        <v>17</v>
      </c>
      <c r="AQ25" s="42">
        <v>16</v>
      </c>
      <c r="AR25" s="42">
        <v>19</v>
      </c>
      <c r="AS25" s="42">
        <v>20</v>
      </c>
      <c r="AT25" s="42">
        <v>19</v>
      </c>
      <c r="AU25" s="42">
        <v>19</v>
      </c>
      <c r="AV25" s="42">
        <v>19</v>
      </c>
      <c r="AW25" s="43" cm="1">
        <f t="array" ref="AW25">IF(AND(AM25:AV25="AB"),"AB",AVERAGE(AM25:AV25))</f>
        <v>18.100000000000001</v>
      </c>
      <c r="AX25" s="36">
        <v>17</v>
      </c>
      <c r="AY25" s="44"/>
      <c r="AZ25" s="44"/>
    </row>
  </sheetData>
  <mergeCells count="10">
    <mergeCell ref="N2:T2"/>
    <mergeCell ref="U2:Y2"/>
    <mergeCell ref="Z2:AE2"/>
    <mergeCell ref="AM2:AW2"/>
    <mergeCell ref="F1:I1"/>
    <mergeCell ref="J1:M1"/>
    <mergeCell ref="N1:AE1"/>
    <mergeCell ref="AF1:AL1"/>
    <mergeCell ref="AM1:AW1"/>
    <mergeCell ref="AX1:A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Sharma</dc:creator>
  <cp:lastModifiedBy>Riddhi Sharma</cp:lastModifiedBy>
  <dcterms:created xsi:type="dcterms:W3CDTF">2025-07-21T03:51:59Z</dcterms:created>
  <dcterms:modified xsi:type="dcterms:W3CDTF">2025-07-21T03:52:46Z</dcterms:modified>
</cp:coreProperties>
</file>